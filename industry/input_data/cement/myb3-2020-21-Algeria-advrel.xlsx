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fraunhofer-my.sharepoint.com/personal/rakesh_etikala_narendar_iee_fraunhofer_de/Documents/Desktop/sectoral-energy-demands/industry/input_data/cement/"/>
    </mc:Choice>
  </mc:AlternateContent>
  <xr:revisionPtr revIDLastSave="0" documentId="13_ncr:1_{C4B3BDEF-AAF1-4F1B-9642-C78D97259432}" xr6:coauthVersionLast="47" xr6:coauthVersionMax="47" xr10:uidLastSave="{00000000-0000-0000-0000-000000000000}"/>
  <bookViews>
    <workbookView xWindow="-90" yWindow="0" windowWidth="19380" windowHeight="10530" activeTab="1" xr2:uid="{00000000-000D-0000-FFFF-FFFF00000000}"/>
  </bookViews>
  <sheets>
    <sheet name="Note" sheetId="2" r:id="rId1"/>
    <sheet name="Table 1" sheetId="1"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1" l="1"/>
  <c r="P10" i="1"/>
  <c r="P11" i="1"/>
  <c r="P13" i="1"/>
  <c r="P14" i="1"/>
  <c r="P15" i="1"/>
  <c r="P16" i="1"/>
  <c r="P18" i="1"/>
  <c r="P19" i="1"/>
  <c r="P21" i="1"/>
  <c r="P22" i="1"/>
  <c r="P24" i="1"/>
  <c r="P25" i="1"/>
  <c r="P26" i="1"/>
  <c r="P27" i="1"/>
  <c r="P28" i="1"/>
  <c r="P29" i="1"/>
  <c r="P30" i="1"/>
  <c r="P31" i="1"/>
  <c r="P33" i="1"/>
  <c r="P34" i="1"/>
  <c r="P36" i="1"/>
  <c r="P37" i="1"/>
  <c r="P38" i="1"/>
  <c r="P39" i="1"/>
  <c r="P40" i="1"/>
  <c r="P43" i="1"/>
  <c r="P44" i="1"/>
  <c r="P47" i="1"/>
  <c r="P48" i="1"/>
  <c r="P49" i="1"/>
  <c r="P51" i="1"/>
  <c r="P52" i="1"/>
  <c r="P53" i="1"/>
  <c r="P56" i="1"/>
  <c r="P55" i="1"/>
  <c r="P58" i="1"/>
  <c r="P60" i="1"/>
  <c r="P61" i="1"/>
  <c r="P63" i="1"/>
  <c r="P65" i="1"/>
  <c r="P67" i="1"/>
  <c r="P68" i="1"/>
  <c r="P70" i="1"/>
  <c r="P71" i="1"/>
  <c r="P72" i="1"/>
  <c r="P73" i="1"/>
  <c r="P74" i="1"/>
  <c r="P75" i="1"/>
  <c r="P76" i="1"/>
  <c r="P77" i="1"/>
  <c r="P8" i="1"/>
  <c r="O10" i="1"/>
  <c r="O11" i="1"/>
  <c r="O14" i="1"/>
  <c r="O15" i="1"/>
  <c r="O16" i="1"/>
  <c r="O18" i="1"/>
  <c r="O19" i="1"/>
  <c r="O21" i="1"/>
  <c r="O22" i="1"/>
  <c r="O24" i="1"/>
  <c r="O25" i="1"/>
  <c r="O26" i="1"/>
  <c r="O27" i="1"/>
  <c r="O28" i="1"/>
  <c r="O29" i="1"/>
  <c r="O30" i="1"/>
  <c r="O31" i="1"/>
  <c r="O33" i="1"/>
  <c r="O34" i="1"/>
  <c r="O36" i="1"/>
  <c r="O37" i="1"/>
  <c r="O38" i="1"/>
  <c r="O39" i="1"/>
  <c r="O40" i="1"/>
  <c r="O43" i="1"/>
  <c r="O44" i="1"/>
  <c r="O47" i="1"/>
  <c r="O48" i="1"/>
  <c r="O49" i="1"/>
  <c r="O51" i="1"/>
  <c r="O52" i="1"/>
  <c r="O53" i="1"/>
  <c r="O56" i="1"/>
  <c r="O55" i="1"/>
  <c r="O58" i="1"/>
  <c r="O60" i="1"/>
  <c r="O61" i="1"/>
  <c r="O63" i="1"/>
  <c r="O65" i="1"/>
  <c r="O67" i="1"/>
  <c r="O68" i="1"/>
  <c r="O70" i="1"/>
  <c r="O71" i="1"/>
  <c r="O72" i="1"/>
  <c r="O73" i="1"/>
  <c r="O74" i="1"/>
  <c r="O75" i="1"/>
  <c r="O76" i="1"/>
  <c r="O77" i="1"/>
  <c r="O8" i="1"/>
</calcChain>
</file>

<file path=xl/sharedStrings.xml><?xml version="1.0" encoding="utf-8"?>
<sst xmlns="http://schemas.openxmlformats.org/spreadsheetml/2006/main" count="232" uniqueCount="98">
  <si>
    <t>TABLE 1</t>
  </si>
  <si>
    <r>
      <t>ALGERIA: PRODUCTION OF MINERAL COMMODITIES</t>
    </r>
    <r>
      <rPr>
        <vertAlign val="superscript"/>
        <sz val="8"/>
        <rFont val="Times New Roman"/>
        <family val="1"/>
      </rPr>
      <t>1</t>
    </r>
  </si>
  <si>
    <t>(Thousand metric tons, gross weight, unless otherwise specified)</t>
  </si>
  <si>
    <r>
      <t>Commodity</t>
    </r>
    <r>
      <rPr>
        <vertAlign val="superscript"/>
        <sz val="8"/>
        <rFont val="Times New Roman"/>
        <family val="1"/>
      </rPr>
      <t>2</t>
    </r>
  </si>
  <si>
    <t>METALS</t>
  </si>
  <si>
    <t>Gold, mine, Au content</t>
  </si>
  <si>
    <t>kilograms</t>
  </si>
  <si>
    <t>r</t>
  </si>
  <si>
    <t>Iron ore, mine:</t>
  </si>
  <si>
    <t>Gross weight</t>
  </si>
  <si>
    <t>e</t>
  </si>
  <si>
    <t>Fe content</t>
  </si>
  <si>
    <t>Iron and steel:</t>
  </si>
  <si>
    <t>Direct-reduced iron</t>
  </si>
  <si>
    <t>--</t>
  </si>
  <si>
    <r>
      <t>Pig iron</t>
    </r>
    <r>
      <rPr>
        <vertAlign val="superscript"/>
        <sz val="8"/>
        <rFont val="Times New Roman"/>
        <family val="1"/>
      </rPr>
      <t>e</t>
    </r>
  </si>
  <si>
    <t>Raw steel</t>
  </si>
  <si>
    <t>Silver, mine, Ag content</t>
  </si>
  <si>
    <t>r, e</t>
  </si>
  <si>
    <t>Zinc:</t>
  </si>
  <si>
    <t>Mine, concentrate</t>
  </si>
  <si>
    <t>metric tons</t>
  </si>
  <si>
    <t>Smelter, primary</t>
  </si>
  <si>
    <t>do.</t>
  </si>
  <si>
    <t>INDUSTRIAL MINERALS</t>
  </si>
  <si>
    <t>Barite, crude</t>
  </si>
  <si>
    <t>Cement, hydraulic</t>
  </si>
  <si>
    <t>Clay:</t>
  </si>
  <si>
    <t>Bentonite</t>
  </si>
  <si>
    <t>Common clay</t>
  </si>
  <si>
    <t>Kaolin</t>
  </si>
  <si>
    <t xml:space="preserve"> e</t>
  </si>
  <si>
    <t>Diatomite</t>
  </si>
  <si>
    <t xml:space="preserve">r </t>
  </si>
  <si>
    <t>Feldspar</t>
  </si>
  <si>
    <t>Gypsum, mine</t>
  </si>
  <si>
    <r>
      <t>Helium</t>
    </r>
    <r>
      <rPr>
        <vertAlign val="superscript"/>
        <sz val="8"/>
        <rFont val="Times New Roman"/>
        <family val="1"/>
      </rPr>
      <t>e</t>
    </r>
  </si>
  <si>
    <t>million cubic meters</t>
  </si>
  <si>
    <r>
      <t>Lime, hydraulic</t>
    </r>
    <r>
      <rPr>
        <vertAlign val="superscript"/>
        <sz val="8"/>
        <rFont val="Times New Roman"/>
        <family val="1"/>
      </rPr>
      <t>e</t>
    </r>
  </si>
  <si>
    <t>Nitrogen, N content:</t>
  </si>
  <si>
    <t>Ammonia</t>
  </si>
  <si>
    <t>Urea</t>
  </si>
  <si>
    <t>Phosphate rock:</t>
  </si>
  <si>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r>
      <rPr>
        <vertAlign val="superscript"/>
        <sz val="8"/>
        <rFont val="Times New Roman"/>
        <family val="1"/>
      </rPr>
      <t>e</t>
    </r>
  </si>
  <si>
    <t>Pumice and related materials, pozzolan</t>
  </si>
  <si>
    <t>Salt, brine and sea</t>
  </si>
  <si>
    <r>
      <t>Sand and gravel, industrial, unspecified</t>
    </r>
    <r>
      <rPr>
        <vertAlign val="superscript"/>
        <sz val="8"/>
        <rFont val="Times New Roman"/>
        <family val="1"/>
      </rPr>
      <t>e</t>
    </r>
  </si>
  <si>
    <t>Stone, sand, and gravel, construction:</t>
  </si>
  <si>
    <t>Sand and gravel:</t>
  </si>
  <si>
    <t xml:space="preserve">Sand </t>
  </si>
  <si>
    <t>Unspecified, aggregates, gravel</t>
  </si>
  <si>
    <t>Stone:</t>
  </si>
  <si>
    <t>Crushed:</t>
  </si>
  <si>
    <t>Dolomite</t>
  </si>
  <si>
    <t>Limestone, for cement</t>
  </si>
  <si>
    <t>Marble</t>
  </si>
  <si>
    <t>Dimension:</t>
  </si>
  <si>
    <t>Tuff</t>
  </si>
  <si>
    <t>Other, size and shape unspecified, calcite</t>
  </si>
  <si>
    <r>
      <t>Sulfur, S content</t>
    </r>
    <r>
      <rPr>
        <vertAlign val="superscript"/>
        <sz val="8"/>
        <rFont val="Times New Roman"/>
        <family val="1"/>
      </rPr>
      <t>e</t>
    </r>
    <r>
      <rPr>
        <sz val="8"/>
        <rFont val="Times New Roman"/>
        <family val="1"/>
      </rPr>
      <t>:</t>
    </r>
  </si>
  <si>
    <t>Byproduct, natural gas and petroleum</t>
  </si>
  <si>
    <t>Compounds, sulfuric acid</t>
  </si>
  <si>
    <t>MINERAL FUELS AND RELATED MATERIALS</t>
  </si>
  <si>
    <t>Methanol</t>
  </si>
  <si>
    <t>Natural gas:</t>
  </si>
  <si>
    <t>Gross</t>
  </si>
  <si>
    <t>Dry basis</t>
  </si>
  <si>
    <t>Petroleum:</t>
  </si>
  <si>
    <t>thousand 42-gallon barrels</t>
  </si>
  <si>
    <t>Natural gas liquids</t>
  </si>
  <si>
    <t>Refinery:</t>
  </si>
  <si>
    <t>Bitumen</t>
  </si>
  <si>
    <t>Distillate fuel oil</t>
  </si>
  <si>
    <t>Gasoline:</t>
  </si>
  <si>
    <t>Normal</t>
  </si>
  <si>
    <t>Super</t>
  </si>
  <si>
    <t>Kerosene, including jet fuel</t>
  </si>
  <si>
    <r>
      <t>Liquefied petroleum gas</t>
    </r>
    <r>
      <rPr>
        <vertAlign val="superscript"/>
        <sz val="8"/>
        <rFont val="Times New Roman"/>
        <family val="1"/>
      </rPr>
      <t>3</t>
    </r>
  </si>
  <si>
    <t>Lubricants</t>
  </si>
  <si>
    <t>Naphtha</t>
  </si>
  <si>
    <t>Residual fuel oil</t>
  </si>
  <si>
    <t>Total</t>
  </si>
  <si>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do. Ditto.  -- Zero.</t>
    </r>
  </si>
  <si>
    <r>
      <rPr>
        <vertAlign val="superscript"/>
        <sz val="8"/>
        <rFont val="Times New Roman"/>
        <family val="1"/>
      </rPr>
      <t>1</t>
    </r>
    <r>
      <rPr>
        <sz val="8"/>
        <rFont val="Times New Roman"/>
        <family val="1"/>
      </rPr>
      <t>Table includes data available through January 24, 2023.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</si>
  <si>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secondary aluminum, caustic soda, coke, fertilizer, fuller's earth, liquified natural gas, perlite, rhyolite, secondary copper, secondary lead, and steel products may have been produced, but available information was inadequate to make reliable estimates of output.</t>
    </r>
  </si>
  <si>
    <r>
      <rPr>
        <vertAlign val="superscript"/>
        <sz val="8"/>
        <rFont val="Times New Roman"/>
        <family val="1"/>
      </rPr>
      <t>3</t>
    </r>
    <r>
      <rPr>
        <sz val="8"/>
        <rFont val="Times New Roman"/>
        <family val="1"/>
      </rPr>
      <t>Includes production from petroleum fields and refineries.</t>
    </r>
  </si>
  <si>
    <t>Petroleum, crude, including</t>
  </si>
  <si>
    <t>condensate</t>
  </si>
  <si>
    <t>Advance Data Release of the</t>
  </si>
  <si>
    <t>2020-21 Annual Tables</t>
  </si>
  <si>
    <t>These tables are an advance data release of those to be</t>
  </si>
  <si>
    <t>incorporated in the USGS Minerals Yearbook 2020-21,</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</si>
  <si>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</si>
  <si>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</si>
  <si>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</si>
  <si>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</si>
  <si>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</si>
  <si>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August 7,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</si>
</sst>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
  </numFmts>
  <fonts count="12" x14ac:knownFonts="1">
    <font>
      <sz val="12"/>
      <color theme="1"/>
      <name val="Calibri"/>
      <family val="2"/>
      <scheme val="minor"/>
    </font>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vertAlign val="sub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indexed="64"/>
      </top>
      <bottom/>
      <diagonal/>
    </border>
    <border>
      <left/>
      <right/>
      <top/>
      <bottom style="thin">
        <color indexed="64"/>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164" fontId="2" fillId="0" borderId="0" applyFont="0" applyFill="0" applyBorder="0" applyAlignment="0" applyProtection="0"/>
    <xf numFmtId="0" fontId="3" fillId="0" borderId="0"/>
    <xf numFmtId="0" fontId="1" fillId="0" borderId="0"/>
  </cellStyleXfs>
  <cellXfs count="56">
    <xf numFmtId="0" fontId="0" fillId="0" borderId="0" xfId="0"/>
    <xf numFmtId="0" fontId="3" fillId="0" borderId="0" xfId="0" applyFont="1" applyAlignment="1">
      <alignment vertical="center"/>
    </xf>
    <xf numFmtId="49" fontId="3" fillId="0" borderId="3" xfId="0" applyNumberFormat="1" applyFont="1" applyBorder="1" applyAlignment="1">
      <alignment horizontal="right" vertical="center"/>
    </xf>
    <xf numFmtId="49" fontId="3" fillId="0" borderId="4" xfId="0" applyNumberFormat="1" applyFont="1" applyBorder="1" applyAlignment="1">
      <alignment horizontal="right" vertical="center"/>
    </xf>
    <xf numFmtId="49" fontId="3" fillId="0" borderId="0" xfId="0" applyNumberFormat="1" applyFont="1" applyAlignment="1">
      <alignment horizontal="right" vertical="center"/>
    </xf>
    <xf numFmtId="49" fontId="3" fillId="0" borderId="3" xfId="0" applyNumberFormat="1" applyFont="1" applyBorder="1" applyAlignment="1">
      <alignment horizontal="left" vertical="center"/>
    </xf>
    <xf numFmtId="49" fontId="3" fillId="0" borderId="3" xfId="0" applyNumberFormat="1" applyFont="1" applyBorder="1" applyAlignment="1">
      <alignment horizontal="left" vertical="center" indent="1"/>
    </xf>
    <xf numFmtId="49" fontId="3" fillId="0" borderId="3" xfId="0" applyNumberFormat="1" applyFont="1" applyBorder="1" applyAlignment="1">
      <alignment horizontal="left" vertical="center" indent="2"/>
    </xf>
    <xf numFmtId="49" fontId="3" fillId="0" borderId="0" xfId="0" applyNumberFormat="1" applyFont="1" applyAlignment="1">
      <alignment horizontal="left" vertical="center" indent="1"/>
    </xf>
    <xf numFmtId="49" fontId="3" fillId="0" borderId="3" xfId="0" applyNumberFormat="1" applyFont="1" applyBorder="1" applyAlignment="1">
      <alignment horizontal="left" vertical="center" indent="3"/>
    </xf>
    <xf numFmtId="49" fontId="3" fillId="0" borderId="1" xfId="0" applyNumberFormat="1" applyFont="1" applyBorder="1" applyAlignment="1">
      <alignment horizontal="left" vertical="center" indent="3"/>
    </xf>
    <xf numFmtId="49" fontId="3" fillId="0" borderId="1" xfId="0" applyNumberFormat="1" applyFont="1" applyBorder="1" applyAlignment="1">
      <alignment horizontal="right" vertical="center"/>
    </xf>
    <xf numFmtId="0" fontId="3" fillId="0" borderId="0" xfId="0" applyFont="1" applyAlignment="1">
      <alignment horizontal="left" vertical="center"/>
    </xf>
    <xf numFmtId="49" fontId="3" fillId="0" borderId="4" xfId="0" applyNumberFormat="1" applyFont="1" applyBorder="1" applyAlignment="1">
      <alignment horizontal="left" vertical="center" indent="1"/>
    </xf>
    <xf numFmtId="49" fontId="3" fillId="0" borderId="0" xfId="0" applyNumberFormat="1" applyFont="1" applyAlignment="1">
      <alignment horizontal="left" vertical="center" indent="2"/>
    </xf>
    <xf numFmtId="166" fontId="3" fillId="0" borderId="0" xfId="0" applyNumberFormat="1" applyFont="1" applyAlignment="1">
      <alignment vertical="center"/>
    </xf>
    <xf numFmtId="0" fontId="3" fillId="0" borderId="3" xfId="0" applyFont="1" applyBorder="1" applyAlignment="1">
      <alignment horizontal="right" vertical="center"/>
    </xf>
    <xf numFmtId="49" fontId="3" fillId="0" borderId="3" xfId="1" applyNumberFormat="1" applyFont="1" applyFill="1" applyBorder="1" applyAlignment="1">
      <alignment horizontal="right" vertical="center"/>
    </xf>
    <xf numFmtId="0" fontId="4" fillId="0" borderId="3" xfId="0" applyFont="1" applyBorder="1" applyAlignment="1">
      <alignment horizontal="left" vertical="center"/>
    </xf>
    <xf numFmtId="0" fontId="3" fillId="0" borderId="0" xfId="0" applyFont="1" applyAlignment="1">
      <alignment horizontal="right" vertical="center"/>
    </xf>
    <xf numFmtId="165" fontId="3" fillId="0" borderId="0" xfId="1" applyNumberFormat="1" applyFont="1" applyFill="1" applyAlignment="1">
      <alignment horizontal="right"/>
    </xf>
    <xf numFmtId="0" fontId="4" fillId="0" borderId="0" xfId="0" applyFont="1" applyAlignment="1">
      <alignment horizontal="left" vertical="center"/>
    </xf>
    <xf numFmtId="3" fontId="3" fillId="0" borderId="0" xfId="1" applyNumberFormat="1" applyFont="1" applyFill="1" applyAlignment="1">
      <alignment horizontal="right" vertical="center"/>
    </xf>
    <xf numFmtId="49" fontId="4" fillId="0" borderId="0" xfId="0" applyNumberFormat="1" applyFont="1" applyAlignment="1">
      <alignment horizontal="left" vertical="center"/>
    </xf>
    <xf numFmtId="49" fontId="3" fillId="0" borderId="0" xfId="1" applyNumberFormat="1" applyFont="1" applyFill="1" applyAlignment="1">
      <alignment horizontal="right" vertical="center"/>
    </xf>
    <xf numFmtId="3" fontId="3" fillId="0" borderId="2" xfId="1" applyNumberFormat="1" applyFont="1" applyFill="1" applyBorder="1" applyAlignment="1">
      <alignment horizontal="right" vertical="center"/>
    </xf>
    <xf numFmtId="49" fontId="4" fillId="0" borderId="2" xfId="0" applyNumberFormat="1" applyFont="1" applyBorder="1" applyAlignment="1">
      <alignment horizontal="left" vertical="center"/>
    </xf>
    <xf numFmtId="3" fontId="3" fillId="0" borderId="3" xfId="1" applyNumberFormat="1" applyFont="1" applyFill="1" applyBorder="1" applyAlignment="1">
      <alignment horizontal="right" vertical="center"/>
    </xf>
    <xf numFmtId="49" fontId="4" fillId="0" borderId="3" xfId="0" applyNumberFormat="1" applyFont="1" applyBorder="1" applyAlignment="1">
      <alignment horizontal="left" vertical="center"/>
    </xf>
    <xf numFmtId="49" fontId="3" fillId="0" borderId="1" xfId="0" applyNumberFormat="1" applyFont="1" applyBorder="1" applyAlignment="1">
      <alignment horizontal="left" vertical="center"/>
    </xf>
    <xf numFmtId="0" fontId="1" fillId="0" borderId="0" xfId="3"/>
    <xf numFmtId="0" fontId="9" fillId="0" borderId="0" xfId="3" applyFont="1" applyAlignment="1">
      <alignment horizontal="left"/>
    </xf>
    <xf numFmtId="0" fontId="10" fillId="2" borderId="8" xfId="3" applyFont="1" applyFill="1" applyBorder="1" applyAlignment="1">
      <alignment horizontal="center" vertical="center" wrapText="1" readingOrder="1"/>
    </xf>
    <xf numFmtId="0" fontId="10" fillId="2" borderId="0" xfId="3" applyFont="1" applyFill="1" applyAlignment="1">
      <alignment horizontal="center" vertical="center" wrapText="1" readingOrder="1"/>
    </xf>
    <xf numFmtId="0" fontId="10" fillId="2" borderId="9" xfId="3" applyFont="1" applyFill="1" applyBorder="1" applyAlignment="1">
      <alignment horizontal="center" vertical="center" wrapText="1" readingOrder="1"/>
    </xf>
    <xf numFmtId="0" fontId="10" fillId="2" borderId="10" xfId="3" applyFont="1" applyFill="1" applyBorder="1" applyAlignment="1">
      <alignment horizontal="centerContinuous" vertical="center" readingOrder="1"/>
    </xf>
    <xf numFmtId="0" fontId="1" fillId="2" borderId="2" xfId="3" applyFill="1" applyBorder="1" applyAlignment="1">
      <alignment horizontal="centerContinuous"/>
    </xf>
    <xf numFmtId="0" fontId="1" fillId="2" borderId="11" xfId="3" applyFill="1" applyBorder="1" applyAlignment="1">
      <alignment horizontal="centerContinuous"/>
    </xf>
    <xf numFmtId="0" fontId="8" fillId="2" borderId="8" xfId="3" applyFont="1" applyFill="1" applyBorder="1" applyAlignment="1">
      <alignment horizontal="center"/>
    </xf>
    <xf numFmtId="0" fontId="8" fillId="2" borderId="0" xfId="3" applyFont="1" applyFill="1" applyAlignment="1">
      <alignment horizontal="center"/>
    </xf>
    <xf numFmtId="0" fontId="8" fillId="2" borderId="9" xfId="3" applyFont="1" applyFill="1" applyBorder="1" applyAlignment="1">
      <alignment horizontal="center"/>
    </xf>
    <xf numFmtId="0" fontId="11" fillId="2" borderId="8" xfId="3" applyFont="1" applyFill="1" applyBorder="1" applyAlignment="1">
      <alignment horizontal="center" vertical="center" readingOrder="1"/>
    </xf>
    <xf numFmtId="0" fontId="11" fillId="2" borderId="0" xfId="3" applyFont="1" applyFill="1" applyAlignment="1">
      <alignment horizontal="center" vertical="center" readingOrder="1"/>
    </xf>
    <xf numFmtId="0" fontId="11" fillId="2" borderId="9" xfId="3" applyFont="1" applyFill="1" applyBorder="1" applyAlignment="1">
      <alignment horizontal="center" vertical="center" readingOrder="1"/>
    </xf>
    <xf numFmtId="0" fontId="6" fillId="2" borderId="5" xfId="2" applyFont="1" applyFill="1" applyBorder="1" applyAlignment="1">
      <alignment horizontal="center"/>
    </xf>
    <xf numFmtId="0" fontId="6" fillId="2" borderId="6" xfId="2" applyFont="1" applyFill="1" applyBorder="1" applyAlignment="1">
      <alignment horizontal="center"/>
    </xf>
    <xf numFmtId="0" fontId="6" fillId="2" borderId="7" xfId="2" applyFont="1" applyFill="1" applyBorder="1" applyAlignment="1">
      <alignment horizontal="center"/>
    </xf>
    <xf numFmtId="0" fontId="7" fillId="2" borderId="8" xfId="2" applyFont="1" applyFill="1" applyBorder="1" applyAlignment="1">
      <alignment horizontal="center"/>
    </xf>
    <xf numFmtId="0" fontId="7" fillId="2" borderId="0" xfId="2" applyFont="1" applyFill="1" applyAlignment="1">
      <alignment horizontal="center"/>
    </xf>
    <xf numFmtId="0" fontId="7" fillId="2" borderId="9" xfId="2" applyFont="1" applyFill="1" applyBorder="1" applyAlignment="1">
      <alignment horizontal="center"/>
    </xf>
    <xf numFmtId="49" fontId="3" fillId="0" borderId="3" xfId="0" applyNumberFormat="1" applyFont="1" applyBorder="1" applyAlignment="1">
      <alignment horizontal="center" vertical="center"/>
    </xf>
    <xf numFmtId="49" fontId="3" fillId="0" borderId="1" xfId="0" applyNumberFormat="1" applyFont="1" applyBorder="1" applyAlignment="1">
      <alignment horizontal="left" vertical="center"/>
    </xf>
    <xf numFmtId="49" fontId="3" fillId="0" borderId="0" xfId="0" applyNumberFormat="1" applyFont="1" applyAlignment="1">
      <alignment horizontal="left" vertical="center" wrapText="1"/>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4" xfId="0" applyNumberFormat="1" applyFont="1" applyBorder="1" applyAlignment="1">
      <alignment horizontal="center" vertical="center"/>
    </xf>
  </cellXfs>
  <cellStyles count="4">
    <cellStyle name="Comma" xfId="1" builtinId="3"/>
    <cellStyle name="Normal" xfId="0" builtinId="0"/>
    <cellStyle name="Normal 2" xfId="2" xr:uid="{B58CF532-CDC9-4EA0-93AB-DA8233B1D444}"/>
    <cellStyle name="Normal 4" xfId="3" xr:uid="{BCB5EAB8-EE24-4097-A64C-859CA261720B}"/>
  </cellStyles>
  <dxfs count="0"/>
  <tableStyles count="0" defaultTableStyle="TableStyleMedium9" defaultPivotStyle="PivotStyleMedium4"/>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7C4CC7EA-65F6-41C7-A07D-1DBB36B4ABCF}"/>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C15B-2123-4B7B-A7EC-B93D35FBACF0}">
  <sheetPr>
    <tabColor theme="0"/>
  </sheetPr>
  <dimension ref="A5:L16"/>
  <sheetViews>
    <sheetView showGridLines="0" workbookViewId="0">
      <selection activeCell="N5" sqref="N5"/>
    </sheetView>
  </sheetViews>
  <sheetFormatPr defaultColWidth="7.33203125" defaultRowHeight="14.5" x14ac:dyDescent="0.35"/>
  <cols>
    <col min="1" max="16384" width="7.33203125" style="30"/>
  </cols>
  <sheetData>
    <row r="5" spans="1:12" ht="42.75" customHeight="1" x14ac:dyDescent="0.6">
      <c r="A5" s="44" t="s">
        <v>88</v>
      </c>
      <c r="B5" s="45"/>
      <c r="C5" s="45"/>
      <c r="D5" s="45"/>
      <c r="E5" s="45"/>
      <c r="F5" s="45"/>
      <c r="G5" s="45"/>
      <c r="H5" s="45"/>
      <c r="I5" s="45"/>
      <c r="J5" s="45"/>
      <c r="K5" s="45"/>
      <c r="L5" s="46"/>
    </row>
    <row r="6" spans="1:12" ht="48" customHeight="1" x14ac:dyDescent="0.9">
      <c r="A6" s="47" t="s">
        <v>89</v>
      </c>
      <c r="B6" s="48"/>
      <c r="C6" s="48"/>
      <c r="D6" s="48"/>
      <c r="E6" s="48"/>
      <c r="F6" s="48"/>
      <c r="G6" s="48"/>
      <c r="H6" s="48"/>
      <c r="I6" s="48"/>
      <c r="J6" s="48"/>
      <c r="K6" s="48"/>
      <c r="L6" s="49"/>
    </row>
    <row r="7" spans="1:12" s="31" customFormat="1" ht="23.5" x14ac:dyDescent="0.55000000000000004">
      <c r="A7" s="38" t="s">
        <v>90</v>
      </c>
      <c r="B7" s="39"/>
      <c r="C7" s="39"/>
      <c r="D7" s="39"/>
      <c r="E7" s="39"/>
      <c r="F7" s="39"/>
      <c r="G7" s="39"/>
      <c r="H7" s="39"/>
      <c r="I7" s="39"/>
      <c r="J7" s="39"/>
      <c r="K7" s="39"/>
      <c r="L7" s="40"/>
    </row>
    <row r="8" spans="1:12" s="31" customFormat="1" ht="23.5" x14ac:dyDescent="0.55000000000000004">
      <c r="A8" s="38" t="s">
        <v>91</v>
      </c>
      <c r="B8" s="39"/>
      <c r="C8" s="39"/>
      <c r="D8" s="39"/>
      <c r="E8" s="39"/>
      <c r="F8" s="39"/>
      <c r="G8" s="39"/>
      <c r="H8" s="39"/>
      <c r="I8" s="39"/>
      <c r="J8" s="39"/>
      <c r="K8" s="39"/>
      <c r="L8" s="40"/>
    </row>
    <row r="9" spans="1:12" s="31" customFormat="1" ht="23.5" x14ac:dyDescent="0.55000000000000004">
      <c r="A9" s="38" t="s">
        <v>92</v>
      </c>
      <c r="B9" s="39"/>
      <c r="C9" s="39"/>
      <c r="D9" s="39"/>
      <c r="E9" s="39"/>
      <c r="F9" s="39"/>
      <c r="G9" s="39"/>
      <c r="H9" s="39"/>
      <c r="I9" s="39"/>
      <c r="J9" s="39"/>
      <c r="K9" s="39"/>
      <c r="L9" s="40"/>
    </row>
    <row r="10" spans="1:12" s="31" customFormat="1" ht="23.5" x14ac:dyDescent="0.55000000000000004">
      <c r="A10" s="38" t="s">
        <v>93</v>
      </c>
      <c r="B10" s="39"/>
      <c r="C10" s="39"/>
      <c r="D10" s="39"/>
      <c r="E10" s="39"/>
      <c r="F10" s="39"/>
      <c r="G10" s="39"/>
      <c r="H10" s="39"/>
      <c r="I10" s="39"/>
      <c r="J10" s="39"/>
      <c r="K10" s="39"/>
      <c r="L10" s="40"/>
    </row>
    <row r="11" spans="1:12" s="31" customFormat="1" ht="23.5" x14ac:dyDescent="0.55000000000000004">
      <c r="A11" s="38" t="s">
        <v>94</v>
      </c>
      <c r="B11" s="39"/>
      <c r="C11" s="39"/>
      <c r="D11" s="39"/>
      <c r="E11" s="39"/>
      <c r="F11" s="39"/>
      <c r="G11" s="39"/>
      <c r="H11" s="39"/>
      <c r="I11" s="39"/>
      <c r="J11" s="39"/>
      <c r="K11" s="39"/>
      <c r="L11" s="40"/>
    </row>
    <row r="12" spans="1:12" s="31" customFormat="1" ht="23.5" x14ac:dyDescent="0.55000000000000004">
      <c r="A12" s="38" t="s">
        <v>95</v>
      </c>
      <c r="B12" s="39"/>
      <c r="C12" s="39"/>
      <c r="D12" s="39"/>
      <c r="E12" s="39"/>
      <c r="F12" s="39"/>
      <c r="G12" s="39"/>
      <c r="H12" s="39"/>
      <c r="I12" s="39"/>
      <c r="J12" s="39"/>
      <c r="K12" s="39"/>
      <c r="L12" s="40"/>
    </row>
    <row r="13" spans="1:12" s="31" customFormat="1" ht="23.5" x14ac:dyDescent="0.55000000000000004">
      <c r="A13" s="38" t="s">
        <v>96</v>
      </c>
      <c r="B13" s="39"/>
      <c r="C13" s="39"/>
      <c r="D13" s="39"/>
      <c r="E13" s="39"/>
      <c r="F13" s="39"/>
      <c r="G13" s="39"/>
      <c r="H13" s="39"/>
      <c r="I13" s="39"/>
      <c r="J13" s="39"/>
      <c r="K13" s="39"/>
      <c r="L13" s="40"/>
    </row>
    <row r="14" spans="1:12" ht="23.5" customHeight="1" x14ac:dyDescent="0.35">
      <c r="A14" s="32"/>
      <c r="B14" s="33"/>
      <c r="C14" s="33"/>
      <c r="D14" s="33"/>
      <c r="E14" s="33"/>
      <c r="F14" s="33"/>
      <c r="G14" s="33"/>
      <c r="H14" s="33"/>
      <c r="I14" s="33"/>
      <c r="J14" s="33"/>
      <c r="K14" s="33"/>
      <c r="L14" s="34"/>
    </row>
    <row r="15" spans="1:12" ht="21" customHeight="1" x14ac:dyDescent="0.35">
      <c r="A15" s="41" t="s">
        <v>97</v>
      </c>
      <c r="B15" s="42"/>
      <c r="C15" s="42"/>
      <c r="D15" s="42"/>
      <c r="E15" s="42"/>
      <c r="F15" s="42"/>
      <c r="G15" s="42"/>
      <c r="H15" s="42"/>
      <c r="I15" s="42"/>
      <c r="J15" s="42"/>
      <c r="K15" s="42"/>
      <c r="L15" s="43"/>
    </row>
    <row r="16" spans="1:12" ht="23" x14ac:dyDescent="0.35">
      <c r="A16" s="35"/>
      <c r="B16" s="36"/>
      <c r="C16" s="36"/>
      <c r="D16" s="36"/>
      <c r="E16" s="36"/>
      <c r="F16" s="36"/>
      <c r="G16" s="36"/>
      <c r="H16" s="36"/>
      <c r="I16" s="36"/>
      <c r="J16" s="36"/>
      <c r="K16" s="36"/>
      <c r="L16" s="37"/>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1"/>
  <sheetViews>
    <sheetView tabSelected="1" zoomScaleNormal="100" workbookViewId="0">
      <selection activeCell="A6" sqref="A6:C6"/>
    </sheetView>
  </sheetViews>
  <sheetFormatPr defaultColWidth="8.75" defaultRowHeight="11.25" customHeight="1" x14ac:dyDescent="0.25"/>
  <cols>
    <col min="1" max="1" width="22.33203125" style="12" customWidth="1"/>
    <col min="2" max="2" width="13.58203125" style="19" customWidth="1"/>
    <col min="3" max="4" width="1.58203125" style="19" customWidth="1"/>
    <col min="5" max="5" width="7.58203125" style="20" customWidth="1"/>
    <col min="6" max="6" width="1.58203125" style="21" customWidth="1"/>
    <col min="7" max="7" width="7.58203125" style="20" customWidth="1"/>
    <col min="8" max="8" width="2.58203125" style="21" customWidth="1"/>
    <col min="9" max="9" width="7.58203125" style="20" customWidth="1"/>
    <col min="10" max="10" width="2.58203125" style="21" customWidth="1"/>
    <col min="11" max="11" width="7.58203125" style="20" customWidth="1"/>
    <col min="12" max="12" width="1.58203125" style="21" customWidth="1"/>
    <col min="13" max="13" width="7.58203125" style="20" customWidth="1"/>
    <col min="14" max="14" width="1.58203125" style="21" customWidth="1"/>
    <col min="15" max="16" width="0" style="15" hidden="1" customWidth="1"/>
    <col min="17" max="16384" width="8.75" style="1"/>
  </cols>
  <sheetData>
    <row r="1" spans="1:16" ht="11.25" customHeight="1" x14ac:dyDescent="0.35">
      <c r="A1" s="54" t="s">
        <v>0</v>
      </c>
      <c r="B1" s="54"/>
      <c r="C1" s="54"/>
      <c r="D1" s="54"/>
      <c r="E1" s="54"/>
      <c r="F1" s="54"/>
      <c r="G1" s="54"/>
      <c r="H1" s="54"/>
      <c r="I1" s="54"/>
      <c r="J1" s="54"/>
      <c r="K1" s="54"/>
      <c r="L1" s="54"/>
      <c r="M1" s="54"/>
      <c r="N1" s="54"/>
    </row>
    <row r="2" spans="1:16" ht="12.65" customHeight="1" x14ac:dyDescent="0.35">
      <c r="A2" s="54" t="s">
        <v>1</v>
      </c>
      <c r="B2" s="54"/>
      <c r="C2" s="54"/>
      <c r="D2" s="54"/>
      <c r="E2" s="54"/>
      <c r="F2" s="54"/>
      <c r="G2" s="54"/>
      <c r="H2" s="54"/>
      <c r="I2" s="54"/>
      <c r="J2" s="54"/>
      <c r="K2" s="54"/>
      <c r="L2" s="54"/>
      <c r="M2" s="54"/>
      <c r="N2" s="54"/>
    </row>
    <row r="3" spans="1:16" ht="11.25" customHeight="1" x14ac:dyDescent="0.35">
      <c r="A3" s="54"/>
      <c r="B3" s="54"/>
      <c r="C3" s="54"/>
      <c r="D3" s="54"/>
      <c r="E3" s="54"/>
      <c r="F3" s="54"/>
      <c r="G3" s="54"/>
      <c r="H3" s="54"/>
      <c r="I3" s="54"/>
      <c r="J3" s="54"/>
      <c r="K3" s="54"/>
      <c r="L3" s="54"/>
      <c r="M3" s="54"/>
      <c r="N3" s="54"/>
    </row>
    <row r="4" spans="1:16" ht="11.25" customHeight="1" x14ac:dyDescent="0.35">
      <c r="A4" s="54" t="s">
        <v>2</v>
      </c>
      <c r="B4" s="54"/>
      <c r="C4" s="54"/>
      <c r="D4" s="54"/>
      <c r="E4" s="54"/>
      <c r="F4" s="54"/>
      <c r="G4" s="54"/>
      <c r="H4" s="54"/>
      <c r="I4" s="54"/>
      <c r="J4" s="54"/>
      <c r="K4" s="54"/>
      <c r="L4" s="54"/>
      <c r="M4" s="54"/>
      <c r="N4" s="54"/>
    </row>
    <row r="5" spans="1:16" ht="11.25" customHeight="1" x14ac:dyDescent="0.35">
      <c r="A5" s="55"/>
      <c r="B5" s="55"/>
      <c r="C5" s="55"/>
      <c r="D5" s="55"/>
      <c r="E5" s="55"/>
      <c r="F5" s="55"/>
      <c r="G5" s="55"/>
      <c r="H5" s="55"/>
      <c r="I5" s="55"/>
      <c r="J5" s="55"/>
      <c r="K5" s="55"/>
      <c r="L5" s="55"/>
      <c r="M5" s="55"/>
      <c r="N5" s="55"/>
    </row>
    <row r="6" spans="1:16" ht="12.65" customHeight="1" x14ac:dyDescent="0.35">
      <c r="A6" s="50" t="s">
        <v>3</v>
      </c>
      <c r="B6" s="50"/>
      <c r="C6" s="50"/>
      <c r="D6" s="16"/>
      <c r="E6" s="17">
        <v>2017</v>
      </c>
      <c r="F6" s="18"/>
      <c r="G6" s="17">
        <v>2018</v>
      </c>
      <c r="H6" s="18"/>
      <c r="I6" s="17">
        <v>2019</v>
      </c>
      <c r="J6" s="18"/>
      <c r="K6" s="17">
        <v>2020</v>
      </c>
      <c r="L6" s="18"/>
      <c r="M6" s="17">
        <v>2021</v>
      </c>
      <c r="N6" s="18"/>
    </row>
    <row r="7" spans="1:16" ht="11.25" customHeight="1" x14ac:dyDescent="0.25">
      <c r="A7" s="50" t="s">
        <v>4</v>
      </c>
      <c r="B7" s="50"/>
      <c r="C7" s="50"/>
    </row>
    <row r="8" spans="1:16" ht="12" customHeight="1" x14ac:dyDescent="0.35">
      <c r="A8" s="5" t="s">
        <v>5</v>
      </c>
      <c r="B8" s="2"/>
      <c r="C8" s="2" t="s">
        <v>6</v>
      </c>
      <c r="E8" s="22">
        <v>137</v>
      </c>
      <c r="F8" s="23"/>
      <c r="G8" s="22">
        <v>128</v>
      </c>
      <c r="H8" s="23" t="s">
        <v>7</v>
      </c>
      <c r="I8" s="22">
        <v>53</v>
      </c>
      <c r="J8" s="23" t="s">
        <v>7</v>
      </c>
      <c r="K8" s="22">
        <v>71</v>
      </c>
      <c r="L8" s="23"/>
      <c r="M8" s="22">
        <v>110</v>
      </c>
      <c r="N8" s="23"/>
      <c r="O8" s="15">
        <f>(K8-I8)/I8*100</f>
        <v>34</v>
      </c>
      <c r="P8" s="15">
        <f>(M8-K8)/K8*100</f>
        <v>54.9</v>
      </c>
    </row>
    <row r="9" spans="1:16" ht="11.25" customHeight="1" x14ac:dyDescent="0.35">
      <c r="A9" s="5" t="s">
        <v>8</v>
      </c>
      <c r="B9" s="2"/>
      <c r="C9" s="2"/>
      <c r="E9" s="22"/>
      <c r="F9" s="23"/>
      <c r="G9" s="22"/>
      <c r="H9" s="23"/>
      <c r="I9" s="22"/>
      <c r="J9" s="23"/>
      <c r="K9" s="22"/>
      <c r="L9" s="23"/>
      <c r="M9" s="22"/>
      <c r="N9" s="23"/>
    </row>
    <row r="10" spans="1:16" ht="12" customHeight="1" x14ac:dyDescent="0.35">
      <c r="A10" s="6" t="s">
        <v>9</v>
      </c>
      <c r="B10" s="2"/>
      <c r="C10" s="2"/>
      <c r="E10" s="22">
        <v>497</v>
      </c>
      <c r="F10" s="23"/>
      <c r="G10" s="22">
        <v>706</v>
      </c>
      <c r="H10" s="23" t="s">
        <v>10</v>
      </c>
      <c r="I10" s="22">
        <v>759</v>
      </c>
      <c r="J10" s="23" t="s">
        <v>7</v>
      </c>
      <c r="K10" s="22">
        <v>753</v>
      </c>
      <c r="L10" s="23"/>
      <c r="M10" s="22">
        <v>600</v>
      </c>
      <c r="N10" s="23"/>
      <c r="O10" s="15">
        <f t="shared" ref="O10:O73" si="0">(K10-I10)/I10*100</f>
        <v>-0.8</v>
      </c>
      <c r="P10" s="15">
        <f t="shared" ref="P10:P73" si="1">(M10-K10)/K10*100</f>
        <v>-20.3</v>
      </c>
    </row>
    <row r="11" spans="1:16" ht="12" customHeight="1" x14ac:dyDescent="0.35">
      <c r="A11" s="6" t="s">
        <v>11</v>
      </c>
      <c r="B11" s="2"/>
      <c r="C11" s="2"/>
      <c r="E11" s="22">
        <v>263</v>
      </c>
      <c r="F11" s="23"/>
      <c r="G11" s="22">
        <v>374</v>
      </c>
      <c r="H11" s="23"/>
      <c r="I11" s="22">
        <v>402</v>
      </c>
      <c r="J11" s="23" t="s">
        <v>7</v>
      </c>
      <c r="K11" s="22">
        <v>399</v>
      </c>
      <c r="L11" s="23"/>
      <c r="M11" s="22">
        <v>318</v>
      </c>
      <c r="N11" s="23"/>
      <c r="O11" s="15">
        <f t="shared" si="0"/>
        <v>-0.7</v>
      </c>
      <c r="P11" s="15">
        <f t="shared" si="1"/>
        <v>-20.3</v>
      </c>
    </row>
    <row r="12" spans="1:16" ht="11.25" customHeight="1" x14ac:dyDescent="0.35">
      <c r="A12" s="5" t="s">
        <v>12</v>
      </c>
      <c r="B12" s="4"/>
      <c r="C12" s="4"/>
      <c r="E12" s="22"/>
      <c r="F12" s="23"/>
      <c r="G12" s="22"/>
      <c r="H12" s="23"/>
      <c r="I12" s="22"/>
      <c r="J12" s="23"/>
      <c r="K12" s="22"/>
      <c r="L12" s="23"/>
      <c r="M12" s="22"/>
      <c r="N12" s="23"/>
    </row>
    <row r="13" spans="1:16" ht="12" customHeight="1" x14ac:dyDescent="0.35">
      <c r="A13" s="6" t="s">
        <v>13</v>
      </c>
      <c r="B13" s="2"/>
      <c r="C13" s="2"/>
      <c r="E13" s="24" t="s">
        <v>14</v>
      </c>
      <c r="F13" s="23"/>
      <c r="G13" s="22">
        <v>100</v>
      </c>
      <c r="H13" s="23"/>
      <c r="I13" s="22">
        <v>1540</v>
      </c>
      <c r="J13" s="23"/>
      <c r="K13" s="22">
        <v>2230</v>
      </c>
      <c r="L13" s="23"/>
      <c r="M13" s="22">
        <v>2200</v>
      </c>
      <c r="N13" s="23" t="s">
        <v>10</v>
      </c>
      <c r="O13" s="15">
        <f>(K13-I13)/I13*100</f>
        <v>44.8</v>
      </c>
      <c r="P13" s="15">
        <f t="shared" si="1"/>
        <v>-1.3</v>
      </c>
    </row>
    <row r="14" spans="1:16" ht="12" customHeight="1" x14ac:dyDescent="0.35">
      <c r="A14" s="6" t="s">
        <v>15</v>
      </c>
      <c r="B14" s="2"/>
      <c r="C14" s="2"/>
      <c r="E14" s="22">
        <v>300</v>
      </c>
      <c r="F14" s="23"/>
      <c r="G14" s="22">
        <v>300</v>
      </c>
      <c r="H14" s="23"/>
      <c r="I14" s="22">
        <v>300</v>
      </c>
      <c r="J14" s="23"/>
      <c r="K14" s="22">
        <v>300</v>
      </c>
      <c r="L14" s="23"/>
      <c r="M14" s="22">
        <v>300</v>
      </c>
      <c r="N14" s="23"/>
      <c r="O14" s="15">
        <f t="shared" si="0"/>
        <v>0</v>
      </c>
      <c r="P14" s="15">
        <f t="shared" si="1"/>
        <v>0</v>
      </c>
    </row>
    <row r="15" spans="1:16" ht="12" customHeight="1" x14ac:dyDescent="0.35">
      <c r="A15" s="6" t="s">
        <v>16</v>
      </c>
      <c r="B15" s="2"/>
      <c r="C15" s="2"/>
      <c r="E15" s="22">
        <v>415</v>
      </c>
      <c r="F15" s="23"/>
      <c r="G15" s="22">
        <v>2300</v>
      </c>
      <c r="H15" s="23" t="s">
        <v>7</v>
      </c>
      <c r="I15" s="22">
        <v>2400</v>
      </c>
      <c r="J15" s="23" t="s">
        <v>7</v>
      </c>
      <c r="K15" s="22">
        <v>3000</v>
      </c>
      <c r="L15" s="23"/>
      <c r="M15" s="22">
        <v>3491</v>
      </c>
      <c r="N15" s="23"/>
      <c r="O15" s="15">
        <f t="shared" si="0"/>
        <v>25</v>
      </c>
      <c r="P15" s="15">
        <f t="shared" si="1"/>
        <v>16.399999999999999</v>
      </c>
    </row>
    <row r="16" spans="1:16" ht="12" customHeight="1" x14ac:dyDescent="0.35">
      <c r="A16" s="5" t="s">
        <v>17</v>
      </c>
      <c r="B16" s="2"/>
      <c r="C16" s="2" t="s">
        <v>6</v>
      </c>
      <c r="E16" s="22">
        <v>25</v>
      </c>
      <c r="F16" s="23" t="s">
        <v>7</v>
      </c>
      <c r="G16" s="22">
        <v>26</v>
      </c>
      <c r="H16" s="23" t="s">
        <v>7</v>
      </c>
      <c r="I16" s="22">
        <v>20</v>
      </c>
      <c r="J16" s="23" t="s">
        <v>18</v>
      </c>
      <c r="K16" s="22">
        <v>12</v>
      </c>
      <c r="L16" s="23"/>
      <c r="M16" s="22">
        <v>12</v>
      </c>
      <c r="N16" s="23" t="s">
        <v>10</v>
      </c>
      <c r="O16" s="15">
        <f t="shared" si="0"/>
        <v>-40</v>
      </c>
      <c r="P16" s="15">
        <f t="shared" si="1"/>
        <v>0</v>
      </c>
    </row>
    <row r="17" spans="1:16" ht="11.25" customHeight="1" x14ac:dyDescent="0.35">
      <c r="A17" s="5" t="s">
        <v>19</v>
      </c>
      <c r="B17" s="2"/>
      <c r="C17" s="2"/>
      <c r="E17" s="22"/>
      <c r="F17" s="23"/>
      <c r="G17" s="22"/>
      <c r="H17" s="23"/>
      <c r="I17" s="22"/>
      <c r="J17" s="23"/>
      <c r="K17" s="22"/>
      <c r="L17" s="23"/>
      <c r="M17" s="22"/>
      <c r="N17" s="23"/>
    </row>
    <row r="18" spans="1:16" ht="12" customHeight="1" x14ac:dyDescent="0.35">
      <c r="A18" s="6" t="s">
        <v>20</v>
      </c>
      <c r="B18" s="2"/>
      <c r="C18" s="2" t="s">
        <v>21</v>
      </c>
      <c r="E18" s="22">
        <v>1524</v>
      </c>
      <c r="F18" s="23" t="s">
        <v>7</v>
      </c>
      <c r="G18" s="22">
        <v>2045</v>
      </c>
      <c r="H18" s="23" t="s">
        <v>7</v>
      </c>
      <c r="I18" s="22">
        <v>498</v>
      </c>
      <c r="J18" s="23" t="s">
        <v>7</v>
      </c>
      <c r="K18" s="22">
        <v>1600</v>
      </c>
      <c r="L18" s="23"/>
      <c r="M18" s="22">
        <v>930</v>
      </c>
      <c r="N18" s="23"/>
      <c r="O18" s="15">
        <f t="shared" si="0"/>
        <v>221.3</v>
      </c>
      <c r="P18" s="15">
        <f t="shared" si="1"/>
        <v>-41.9</v>
      </c>
    </row>
    <row r="19" spans="1:16" ht="12" customHeight="1" x14ac:dyDescent="0.35">
      <c r="A19" s="6" t="s">
        <v>22</v>
      </c>
      <c r="B19" s="2"/>
      <c r="C19" s="2" t="s">
        <v>23</v>
      </c>
      <c r="E19" s="22">
        <v>1472</v>
      </c>
      <c r="F19" s="23"/>
      <c r="G19" s="22">
        <v>2045</v>
      </c>
      <c r="H19" s="23"/>
      <c r="I19" s="22">
        <v>543</v>
      </c>
      <c r="J19" s="23"/>
      <c r="K19" s="22">
        <v>849</v>
      </c>
      <c r="L19" s="23"/>
      <c r="M19" s="22">
        <v>850</v>
      </c>
      <c r="N19" s="23" t="s">
        <v>10</v>
      </c>
      <c r="O19" s="15">
        <f t="shared" si="0"/>
        <v>56.4</v>
      </c>
      <c r="P19" s="15">
        <f t="shared" si="1"/>
        <v>0.1</v>
      </c>
    </row>
    <row r="20" spans="1:16" ht="11.25" customHeight="1" x14ac:dyDescent="0.35">
      <c r="A20" s="50" t="s">
        <v>24</v>
      </c>
      <c r="B20" s="50"/>
      <c r="C20" s="50"/>
      <c r="E20" s="22"/>
      <c r="F20" s="23"/>
      <c r="G20" s="22"/>
      <c r="H20" s="23"/>
      <c r="I20" s="22"/>
      <c r="J20" s="23"/>
      <c r="K20" s="22"/>
      <c r="L20" s="23"/>
      <c r="M20" s="22"/>
      <c r="N20" s="23"/>
    </row>
    <row r="21" spans="1:16" ht="12" customHeight="1" x14ac:dyDescent="0.35">
      <c r="A21" s="5" t="s">
        <v>25</v>
      </c>
      <c r="B21" s="2"/>
      <c r="C21" s="2" t="s">
        <v>23</v>
      </c>
      <c r="E21" s="22">
        <v>44812</v>
      </c>
      <c r="F21" s="23" t="s">
        <v>7</v>
      </c>
      <c r="G21" s="22">
        <v>39426</v>
      </c>
      <c r="H21" s="23"/>
      <c r="I21" s="22">
        <v>31138</v>
      </c>
      <c r="J21" s="23" t="s">
        <v>7</v>
      </c>
      <c r="K21" s="22">
        <v>32940</v>
      </c>
      <c r="L21" s="23"/>
      <c r="M21" s="22">
        <v>33000</v>
      </c>
      <c r="N21" s="23" t="s">
        <v>10</v>
      </c>
      <c r="O21" s="15">
        <f t="shared" si="0"/>
        <v>5.8</v>
      </c>
      <c r="P21" s="15">
        <f t="shared" si="1"/>
        <v>0.2</v>
      </c>
    </row>
    <row r="22" spans="1:16" ht="12" customHeight="1" x14ac:dyDescent="0.35">
      <c r="A22" s="5" t="s">
        <v>26</v>
      </c>
      <c r="B22" s="2"/>
      <c r="C22" s="2"/>
      <c r="E22" s="22">
        <v>25330</v>
      </c>
      <c r="F22" s="23" t="s">
        <v>7</v>
      </c>
      <c r="G22" s="22">
        <v>24480</v>
      </c>
      <c r="H22" s="23" t="s">
        <v>7</v>
      </c>
      <c r="I22" s="22">
        <v>25370</v>
      </c>
      <c r="J22" s="23" t="s">
        <v>7</v>
      </c>
      <c r="K22" s="22">
        <v>22500</v>
      </c>
      <c r="L22" s="23"/>
      <c r="M22" s="22">
        <v>24000</v>
      </c>
      <c r="N22" s="23" t="s">
        <v>10</v>
      </c>
      <c r="O22" s="15">
        <f t="shared" si="0"/>
        <v>-11.3</v>
      </c>
      <c r="P22" s="15">
        <f t="shared" si="1"/>
        <v>6.7</v>
      </c>
    </row>
    <row r="23" spans="1:16" ht="11.25" customHeight="1" x14ac:dyDescent="0.35">
      <c r="A23" s="5" t="s">
        <v>27</v>
      </c>
      <c r="B23" s="2"/>
      <c r="C23" s="2"/>
      <c r="E23" s="22"/>
      <c r="F23" s="23"/>
      <c r="G23" s="22"/>
      <c r="H23" s="23"/>
      <c r="I23" s="22"/>
      <c r="J23" s="23"/>
      <c r="K23" s="22"/>
      <c r="L23" s="23"/>
      <c r="M23" s="22"/>
      <c r="N23" s="23"/>
    </row>
    <row r="24" spans="1:16" ht="11.25" customHeight="1" x14ac:dyDescent="0.35">
      <c r="A24" s="6" t="s">
        <v>28</v>
      </c>
      <c r="B24" s="2"/>
      <c r="C24" s="2" t="s">
        <v>21</v>
      </c>
      <c r="E24" s="22">
        <v>35600</v>
      </c>
      <c r="F24" s="23"/>
      <c r="G24" s="22">
        <v>36000</v>
      </c>
      <c r="H24" s="23"/>
      <c r="I24" s="22">
        <v>36700</v>
      </c>
      <c r="J24" s="23"/>
      <c r="K24" s="22">
        <v>34200</v>
      </c>
      <c r="L24" s="23"/>
      <c r="M24" s="22">
        <v>34000</v>
      </c>
      <c r="N24" s="23" t="s">
        <v>10</v>
      </c>
      <c r="O24" s="15">
        <f t="shared" si="0"/>
        <v>-6.8</v>
      </c>
      <c r="P24" s="15">
        <f t="shared" si="1"/>
        <v>-0.6</v>
      </c>
    </row>
    <row r="25" spans="1:16" ht="12" customHeight="1" x14ac:dyDescent="0.35">
      <c r="A25" s="6" t="s">
        <v>29</v>
      </c>
      <c r="B25" s="2"/>
      <c r="C25" s="2"/>
      <c r="E25" s="22">
        <v>13948</v>
      </c>
      <c r="F25" s="23" t="s">
        <v>7</v>
      </c>
      <c r="G25" s="22">
        <v>14378</v>
      </c>
      <c r="H25" s="23" t="s">
        <v>7</v>
      </c>
      <c r="I25" s="22">
        <v>15000</v>
      </c>
      <c r="J25" s="23" t="s">
        <v>10</v>
      </c>
      <c r="K25" s="22">
        <v>14000</v>
      </c>
      <c r="L25" s="23" t="s">
        <v>10</v>
      </c>
      <c r="M25" s="22">
        <v>15000</v>
      </c>
      <c r="N25" s="23" t="s">
        <v>10</v>
      </c>
      <c r="O25" s="15">
        <f t="shared" si="0"/>
        <v>-6.7</v>
      </c>
      <c r="P25" s="15">
        <f t="shared" si="1"/>
        <v>7.1</v>
      </c>
    </row>
    <row r="26" spans="1:16" ht="12" customHeight="1" x14ac:dyDescent="0.35">
      <c r="A26" s="6" t="s">
        <v>30</v>
      </c>
      <c r="B26" s="2"/>
      <c r="C26" s="2" t="s">
        <v>21</v>
      </c>
      <c r="E26" s="22">
        <v>114181</v>
      </c>
      <c r="F26" s="23" t="s">
        <v>7</v>
      </c>
      <c r="G26" s="22">
        <v>120000</v>
      </c>
      <c r="H26" s="23" t="s">
        <v>10</v>
      </c>
      <c r="I26" s="22">
        <v>120000</v>
      </c>
      <c r="J26" s="23" t="s">
        <v>31</v>
      </c>
      <c r="K26" s="22">
        <v>120000</v>
      </c>
      <c r="L26" s="23" t="s">
        <v>10</v>
      </c>
      <c r="M26" s="22">
        <v>120000</v>
      </c>
      <c r="N26" s="23" t="s">
        <v>10</v>
      </c>
      <c r="O26" s="15">
        <f t="shared" si="0"/>
        <v>0</v>
      </c>
      <c r="P26" s="15">
        <f t="shared" si="1"/>
        <v>0</v>
      </c>
    </row>
    <row r="27" spans="1:16" ht="12" customHeight="1" x14ac:dyDescent="0.35">
      <c r="A27" s="5" t="s">
        <v>32</v>
      </c>
      <c r="B27" s="2"/>
      <c r="C27" s="2" t="s">
        <v>23</v>
      </c>
      <c r="E27" s="22">
        <v>2535</v>
      </c>
      <c r="F27" s="23" t="s">
        <v>7</v>
      </c>
      <c r="G27" s="22">
        <v>2468</v>
      </c>
      <c r="H27" s="23" t="s">
        <v>7</v>
      </c>
      <c r="I27" s="22">
        <v>2437</v>
      </c>
      <c r="J27" s="23" t="s">
        <v>33</v>
      </c>
      <c r="K27" s="22">
        <v>3040</v>
      </c>
      <c r="L27" s="23"/>
      <c r="M27" s="22">
        <v>3000</v>
      </c>
      <c r="N27" s="23" t="s">
        <v>10</v>
      </c>
      <c r="O27" s="15">
        <f t="shared" si="0"/>
        <v>24.7</v>
      </c>
      <c r="P27" s="15">
        <f t="shared" si="1"/>
        <v>-1.3</v>
      </c>
    </row>
    <row r="28" spans="1:16" ht="12" customHeight="1" x14ac:dyDescent="0.35">
      <c r="A28" s="5" t="s">
        <v>34</v>
      </c>
      <c r="B28" s="2"/>
      <c r="C28" s="2"/>
      <c r="E28" s="22">
        <v>170</v>
      </c>
      <c r="F28" s="23" t="s">
        <v>7</v>
      </c>
      <c r="G28" s="22">
        <v>95</v>
      </c>
      <c r="H28" s="23" t="s">
        <v>7</v>
      </c>
      <c r="I28" s="22">
        <v>170</v>
      </c>
      <c r="J28" s="23" t="s">
        <v>10</v>
      </c>
      <c r="K28" s="22">
        <v>170</v>
      </c>
      <c r="L28" s="23" t="s">
        <v>10</v>
      </c>
      <c r="M28" s="22">
        <v>170</v>
      </c>
      <c r="N28" s="23" t="s">
        <v>10</v>
      </c>
      <c r="O28" s="15">
        <f t="shared" si="0"/>
        <v>0</v>
      </c>
      <c r="P28" s="15">
        <f t="shared" si="1"/>
        <v>0</v>
      </c>
    </row>
    <row r="29" spans="1:16" ht="12" customHeight="1" x14ac:dyDescent="0.35">
      <c r="A29" s="5" t="s">
        <v>35</v>
      </c>
      <c r="B29" s="2"/>
      <c r="C29" s="2"/>
      <c r="E29" s="22">
        <v>2399</v>
      </c>
      <c r="F29" s="23" t="s">
        <v>7</v>
      </c>
      <c r="G29" s="22">
        <v>1884</v>
      </c>
      <c r="H29" s="23" t="s">
        <v>7</v>
      </c>
      <c r="I29" s="22">
        <v>2500</v>
      </c>
      <c r="J29" s="23" t="s">
        <v>10</v>
      </c>
      <c r="K29" s="22">
        <v>2500</v>
      </c>
      <c r="L29" s="23" t="s">
        <v>10</v>
      </c>
      <c r="M29" s="22">
        <v>2500</v>
      </c>
      <c r="N29" s="23" t="s">
        <v>10</v>
      </c>
      <c r="O29" s="15">
        <f t="shared" si="0"/>
        <v>0</v>
      </c>
      <c r="P29" s="15">
        <f t="shared" si="1"/>
        <v>0</v>
      </c>
    </row>
    <row r="30" spans="1:16" ht="12" customHeight="1" x14ac:dyDescent="0.35">
      <c r="A30" s="5" t="s">
        <v>36</v>
      </c>
      <c r="B30" s="2"/>
      <c r="C30" s="2" t="s">
        <v>37</v>
      </c>
      <c r="E30" s="22">
        <v>14</v>
      </c>
      <c r="F30" s="23" t="s">
        <v>7</v>
      </c>
      <c r="G30" s="22">
        <v>14</v>
      </c>
      <c r="H30" s="23" t="s">
        <v>7</v>
      </c>
      <c r="I30" s="22">
        <v>14</v>
      </c>
      <c r="J30" s="23" t="s">
        <v>7</v>
      </c>
      <c r="K30" s="22">
        <v>14</v>
      </c>
      <c r="L30" s="23"/>
      <c r="M30" s="22">
        <v>10</v>
      </c>
      <c r="N30" s="23"/>
      <c r="O30" s="15">
        <f t="shared" si="0"/>
        <v>0</v>
      </c>
      <c r="P30" s="15">
        <f t="shared" si="1"/>
        <v>-28.6</v>
      </c>
    </row>
    <row r="31" spans="1:16" ht="12" customHeight="1" x14ac:dyDescent="0.35">
      <c r="A31" s="5" t="s">
        <v>38</v>
      </c>
      <c r="B31" s="2"/>
      <c r="C31" s="2"/>
      <c r="E31" s="22">
        <v>50</v>
      </c>
      <c r="F31" s="23"/>
      <c r="G31" s="22">
        <v>200</v>
      </c>
      <c r="H31" s="23"/>
      <c r="I31" s="22">
        <v>200</v>
      </c>
      <c r="J31" s="23"/>
      <c r="K31" s="22">
        <v>200</v>
      </c>
      <c r="L31" s="23"/>
      <c r="M31" s="22">
        <v>200</v>
      </c>
      <c r="N31" s="23"/>
      <c r="O31" s="15">
        <f t="shared" si="0"/>
        <v>0</v>
      </c>
      <c r="P31" s="15">
        <f t="shared" si="1"/>
        <v>0</v>
      </c>
    </row>
    <row r="32" spans="1:16" ht="11.25" customHeight="1" x14ac:dyDescent="0.35">
      <c r="A32" s="5" t="s">
        <v>39</v>
      </c>
      <c r="B32" s="2"/>
      <c r="C32" s="2"/>
      <c r="E32" s="22"/>
      <c r="F32" s="23"/>
      <c r="G32" s="22"/>
      <c r="H32" s="23"/>
      <c r="I32" s="22"/>
      <c r="J32" s="23"/>
      <c r="K32" s="22"/>
      <c r="L32" s="23"/>
      <c r="M32" s="22"/>
      <c r="N32" s="23"/>
    </row>
    <row r="33" spans="1:16" ht="12" customHeight="1" x14ac:dyDescent="0.35">
      <c r="A33" s="6" t="s">
        <v>40</v>
      </c>
      <c r="B33" s="2"/>
      <c r="C33" s="2"/>
      <c r="E33" s="22">
        <v>984</v>
      </c>
      <c r="F33" s="23"/>
      <c r="G33" s="22">
        <v>2235</v>
      </c>
      <c r="H33" s="23"/>
      <c r="I33" s="22">
        <v>2400</v>
      </c>
      <c r="J33" s="23" t="s">
        <v>18</v>
      </c>
      <c r="K33" s="22">
        <v>2300</v>
      </c>
      <c r="L33" s="23" t="s">
        <v>10</v>
      </c>
      <c r="M33" s="22">
        <v>2600</v>
      </c>
      <c r="N33" s="23" t="s">
        <v>10</v>
      </c>
      <c r="O33" s="15">
        <f t="shared" si="0"/>
        <v>-4.2</v>
      </c>
      <c r="P33" s="15">
        <f t="shared" si="1"/>
        <v>13</v>
      </c>
    </row>
    <row r="34" spans="1:16" ht="12" customHeight="1" x14ac:dyDescent="0.35">
      <c r="A34" s="6" t="s">
        <v>41</v>
      </c>
      <c r="B34" s="2"/>
      <c r="C34" s="2"/>
      <c r="E34" s="22">
        <v>633</v>
      </c>
      <c r="F34" s="23"/>
      <c r="G34" s="22">
        <v>1596</v>
      </c>
      <c r="H34" s="23"/>
      <c r="I34" s="22">
        <v>1400</v>
      </c>
      <c r="J34" s="23"/>
      <c r="K34" s="22">
        <v>1600</v>
      </c>
      <c r="L34" s="23" t="s">
        <v>10</v>
      </c>
      <c r="M34" s="22">
        <v>1500</v>
      </c>
      <c r="N34" s="23" t="s">
        <v>10</v>
      </c>
      <c r="O34" s="15">
        <f t="shared" si="0"/>
        <v>14.3</v>
      </c>
      <c r="P34" s="15">
        <f t="shared" si="1"/>
        <v>-6.3</v>
      </c>
    </row>
    <row r="35" spans="1:16" ht="11.25" customHeight="1" x14ac:dyDescent="0.35">
      <c r="A35" s="5" t="s">
        <v>42</v>
      </c>
      <c r="B35" s="2"/>
      <c r="C35" s="2"/>
      <c r="E35" s="22"/>
      <c r="F35" s="23"/>
      <c r="G35" s="22"/>
      <c r="H35" s="23"/>
      <c r="I35" s="22"/>
      <c r="J35" s="23"/>
      <c r="K35" s="22"/>
      <c r="L35" s="23"/>
      <c r="M35" s="22"/>
      <c r="N35" s="23"/>
    </row>
    <row r="36" spans="1:16" ht="12" customHeight="1" x14ac:dyDescent="0.35">
      <c r="A36" s="6" t="s">
        <v>9</v>
      </c>
      <c r="B36" s="2"/>
      <c r="C36" s="2"/>
      <c r="E36" s="22">
        <v>1112</v>
      </c>
      <c r="F36" s="23"/>
      <c r="G36" s="22">
        <v>1204</v>
      </c>
      <c r="H36" s="23"/>
      <c r="I36" s="22">
        <v>1338</v>
      </c>
      <c r="J36" s="23"/>
      <c r="K36" s="22">
        <v>1206</v>
      </c>
      <c r="L36" s="23"/>
      <c r="M36" s="22">
        <v>1400</v>
      </c>
      <c r="N36" s="23" t="s">
        <v>10</v>
      </c>
      <c r="O36" s="15">
        <f t="shared" si="0"/>
        <v>-9.9</v>
      </c>
      <c r="P36" s="15">
        <f t="shared" si="1"/>
        <v>16.100000000000001</v>
      </c>
    </row>
    <row r="37" spans="1:16" ht="12" customHeight="1" x14ac:dyDescent="0.35">
      <c r="A37" s="6" t="s">
        <v>43</v>
      </c>
      <c r="B37" s="2"/>
      <c r="C37" s="2"/>
      <c r="E37" s="22">
        <v>330</v>
      </c>
      <c r="F37" s="23"/>
      <c r="G37" s="22">
        <v>340</v>
      </c>
      <c r="H37" s="23"/>
      <c r="I37" s="22">
        <v>390</v>
      </c>
      <c r="J37" s="23"/>
      <c r="K37" s="22">
        <v>340</v>
      </c>
      <c r="L37" s="23"/>
      <c r="M37" s="22">
        <v>420</v>
      </c>
      <c r="N37" s="23"/>
      <c r="O37" s="15">
        <f t="shared" si="0"/>
        <v>-12.8</v>
      </c>
      <c r="P37" s="15">
        <f t="shared" si="1"/>
        <v>23.5</v>
      </c>
    </row>
    <row r="38" spans="1:16" ht="12" customHeight="1" x14ac:dyDescent="0.35">
      <c r="A38" s="5" t="s">
        <v>44</v>
      </c>
      <c r="B38" s="2"/>
      <c r="C38" s="2"/>
      <c r="E38" s="22">
        <v>761</v>
      </c>
      <c r="F38" s="23" t="s">
        <v>7</v>
      </c>
      <c r="G38" s="22">
        <v>458</v>
      </c>
      <c r="H38" s="23" t="s">
        <v>7</v>
      </c>
      <c r="I38" s="22">
        <v>900</v>
      </c>
      <c r="J38" s="23" t="s">
        <v>10</v>
      </c>
      <c r="K38" s="22">
        <v>900</v>
      </c>
      <c r="L38" s="23" t="s">
        <v>10</v>
      </c>
      <c r="M38" s="22">
        <v>900</v>
      </c>
      <c r="N38" s="23" t="s">
        <v>10</v>
      </c>
      <c r="O38" s="15">
        <f t="shared" si="0"/>
        <v>0</v>
      </c>
      <c r="P38" s="15">
        <f t="shared" si="1"/>
        <v>0</v>
      </c>
    </row>
    <row r="39" spans="1:16" ht="12" customHeight="1" x14ac:dyDescent="0.35">
      <c r="A39" s="5" t="s">
        <v>45</v>
      </c>
      <c r="B39" s="2"/>
      <c r="C39" s="2"/>
      <c r="E39" s="22">
        <v>190</v>
      </c>
      <c r="F39" s="23" t="s">
        <v>7</v>
      </c>
      <c r="G39" s="22">
        <v>321</v>
      </c>
      <c r="H39" s="23" t="s">
        <v>7</v>
      </c>
      <c r="I39" s="22">
        <v>330</v>
      </c>
      <c r="J39" s="23" t="s">
        <v>18</v>
      </c>
      <c r="K39" s="22">
        <v>300</v>
      </c>
      <c r="L39" s="23" t="s">
        <v>10</v>
      </c>
      <c r="M39" s="22">
        <v>300</v>
      </c>
      <c r="N39" s="23" t="s">
        <v>10</v>
      </c>
      <c r="O39" s="15">
        <f t="shared" si="0"/>
        <v>-9.1</v>
      </c>
      <c r="P39" s="15">
        <f t="shared" si="1"/>
        <v>0</v>
      </c>
    </row>
    <row r="40" spans="1:16" ht="12" customHeight="1" x14ac:dyDescent="0.35">
      <c r="A40" s="5" t="s">
        <v>46</v>
      </c>
      <c r="B40" s="2"/>
      <c r="C40" s="2"/>
      <c r="E40" s="22">
        <v>60</v>
      </c>
      <c r="F40" s="23"/>
      <c r="G40" s="22">
        <v>60</v>
      </c>
      <c r="H40" s="23"/>
      <c r="I40" s="22">
        <v>60</v>
      </c>
      <c r="J40" s="23"/>
      <c r="K40" s="22">
        <v>60</v>
      </c>
      <c r="L40" s="23"/>
      <c r="M40" s="22">
        <v>60</v>
      </c>
      <c r="N40" s="23"/>
      <c r="O40" s="15">
        <f t="shared" si="0"/>
        <v>0</v>
      </c>
      <c r="P40" s="15">
        <f t="shared" si="1"/>
        <v>0</v>
      </c>
    </row>
    <row r="41" spans="1:16" ht="11.25" customHeight="1" x14ac:dyDescent="0.35">
      <c r="A41" s="5" t="s">
        <v>47</v>
      </c>
      <c r="B41" s="2"/>
      <c r="C41" s="2"/>
      <c r="E41" s="22"/>
      <c r="F41" s="23"/>
      <c r="G41" s="22"/>
      <c r="H41" s="23"/>
      <c r="I41" s="22"/>
      <c r="J41" s="23"/>
      <c r="K41" s="22"/>
      <c r="L41" s="23"/>
      <c r="M41" s="22"/>
      <c r="N41" s="23"/>
    </row>
    <row r="42" spans="1:16" ht="11.25" customHeight="1" x14ac:dyDescent="0.35">
      <c r="A42" s="6" t="s">
        <v>48</v>
      </c>
      <c r="B42" s="2"/>
      <c r="C42" s="2"/>
      <c r="E42" s="22"/>
      <c r="F42" s="23"/>
      <c r="G42" s="22"/>
      <c r="H42" s="23"/>
      <c r="I42" s="22"/>
      <c r="J42" s="23"/>
      <c r="K42" s="22"/>
      <c r="L42" s="23"/>
      <c r="M42" s="22"/>
      <c r="N42" s="23"/>
    </row>
    <row r="43" spans="1:16" ht="12" customHeight="1" x14ac:dyDescent="0.35">
      <c r="A43" s="7" t="s">
        <v>49</v>
      </c>
      <c r="B43" s="2"/>
      <c r="C43" s="2"/>
      <c r="E43" s="22">
        <v>3058</v>
      </c>
      <c r="F43" s="23" t="s">
        <v>7</v>
      </c>
      <c r="G43" s="22">
        <v>5823</v>
      </c>
      <c r="H43" s="23" t="s">
        <v>7</v>
      </c>
      <c r="I43" s="22">
        <v>6000</v>
      </c>
      <c r="J43" s="23" t="s">
        <v>18</v>
      </c>
      <c r="K43" s="22">
        <v>5000</v>
      </c>
      <c r="L43" s="23" t="s">
        <v>10</v>
      </c>
      <c r="M43" s="22">
        <v>6000</v>
      </c>
      <c r="N43" s="23" t="s">
        <v>10</v>
      </c>
      <c r="O43" s="15">
        <f t="shared" si="0"/>
        <v>-16.7</v>
      </c>
      <c r="P43" s="15">
        <f t="shared" si="1"/>
        <v>20</v>
      </c>
    </row>
    <row r="44" spans="1:16" ht="12" customHeight="1" x14ac:dyDescent="0.35">
      <c r="A44" s="7" t="s">
        <v>50</v>
      </c>
      <c r="B44" s="2"/>
      <c r="C44" s="2"/>
      <c r="E44" s="22">
        <v>17700</v>
      </c>
      <c r="F44" s="23"/>
      <c r="G44" s="22">
        <v>16400</v>
      </c>
      <c r="H44" s="23"/>
      <c r="I44" s="22">
        <v>14920</v>
      </c>
      <c r="J44" s="23" t="s">
        <v>33</v>
      </c>
      <c r="K44" s="22">
        <v>15440</v>
      </c>
      <c r="L44" s="23"/>
      <c r="M44" s="22">
        <v>16000</v>
      </c>
      <c r="N44" s="23" t="s">
        <v>10</v>
      </c>
      <c r="O44" s="15">
        <f t="shared" si="0"/>
        <v>3.5</v>
      </c>
      <c r="P44" s="15">
        <f t="shared" si="1"/>
        <v>3.6</v>
      </c>
    </row>
    <row r="45" spans="1:16" ht="11.25" customHeight="1" x14ac:dyDescent="0.35">
      <c r="A45" s="8" t="s">
        <v>51</v>
      </c>
      <c r="B45" s="4"/>
      <c r="C45" s="4"/>
      <c r="E45" s="22"/>
      <c r="F45" s="23"/>
      <c r="G45" s="22"/>
      <c r="H45" s="23"/>
      <c r="I45" s="22"/>
      <c r="J45" s="23"/>
      <c r="K45" s="22"/>
      <c r="L45" s="23"/>
      <c r="M45" s="22"/>
      <c r="N45" s="23"/>
    </row>
    <row r="46" spans="1:16" ht="11.25" customHeight="1" x14ac:dyDescent="0.35">
      <c r="A46" s="14" t="s">
        <v>52</v>
      </c>
      <c r="B46" s="4"/>
      <c r="C46" s="4"/>
      <c r="E46" s="22"/>
      <c r="F46" s="23"/>
      <c r="G46" s="22"/>
      <c r="H46" s="23"/>
      <c r="I46" s="22"/>
      <c r="J46" s="23"/>
      <c r="K46" s="22"/>
      <c r="L46" s="23"/>
      <c r="M46" s="22"/>
      <c r="N46" s="23"/>
    </row>
    <row r="47" spans="1:16" ht="12" customHeight="1" x14ac:dyDescent="0.35">
      <c r="A47" s="9" t="s">
        <v>53</v>
      </c>
      <c r="B47" s="2"/>
      <c r="C47" s="2" t="s">
        <v>21</v>
      </c>
      <c r="E47" s="22">
        <v>30</v>
      </c>
      <c r="F47" s="23"/>
      <c r="G47" s="22">
        <v>50</v>
      </c>
      <c r="H47" s="23"/>
      <c r="I47" s="22">
        <v>50</v>
      </c>
      <c r="J47" s="23" t="s">
        <v>10</v>
      </c>
      <c r="K47" s="22">
        <v>40</v>
      </c>
      <c r="L47" s="23" t="s">
        <v>10</v>
      </c>
      <c r="M47" s="22">
        <v>50</v>
      </c>
      <c r="N47" s="23" t="s">
        <v>10</v>
      </c>
      <c r="O47" s="15">
        <f t="shared" si="0"/>
        <v>-20</v>
      </c>
      <c r="P47" s="15">
        <f t="shared" si="1"/>
        <v>25</v>
      </c>
    </row>
    <row r="48" spans="1:16" ht="12" customHeight="1" x14ac:dyDescent="0.35">
      <c r="A48" s="9" t="s">
        <v>54</v>
      </c>
      <c r="B48" s="2"/>
      <c r="C48" s="2"/>
      <c r="E48" s="22">
        <v>26910</v>
      </c>
      <c r="F48" s="23" t="s">
        <v>7</v>
      </c>
      <c r="G48" s="22">
        <v>31896</v>
      </c>
      <c r="H48" s="23" t="s">
        <v>7</v>
      </c>
      <c r="I48" s="22">
        <v>33000</v>
      </c>
      <c r="J48" s="23" t="s">
        <v>18</v>
      </c>
      <c r="K48" s="22">
        <v>30000</v>
      </c>
      <c r="L48" s="23" t="s">
        <v>10</v>
      </c>
      <c r="M48" s="22">
        <v>32000</v>
      </c>
      <c r="N48" s="23"/>
      <c r="O48" s="15">
        <f t="shared" si="0"/>
        <v>-9.1</v>
      </c>
      <c r="P48" s="15">
        <f t="shared" si="1"/>
        <v>6.7</v>
      </c>
    </row>
    <row r="49" spans="1:16" ht="12" customHeight="1" x14ac:dyDescent="0.35">
      <c r="A49" s="9" t="s">
        <v>55</v>
      </c>
      <c r="B49" s="2"/>
      <c r="C49" s="2"/>
      <c r="E49" s="22">
        <v>178</v>
      </c>
      <c r="F49" s="23"/>
      <c r="G49" s="22">
        <v>117</v>
      </c>
      <c r="H49" s="23" t="s">
        <v>7</v>
      </c>
      <c r="I49" s="22">
        <v>136</v>
      </c>
      <c r="J49" s="23" t="s">
        <v>33</v>
      </c>
      <c r="K49" s="22">
        <v>92</v>
      </c>
      <c r="L49" s="23"/>
      <c r="M49" s="22">
        <v>130</v>
      </c>
      <c r="N49" s="23" t="s">
        <v>10</v>
      </c>
      <c r="O49" s="15">
        <f t="shared" si="0"/>
        <v>-32.4</v>
      </c>
      <c r="P49" s="15">
        <f t="shared" si="1"/>
        <v>41.3</v>
      </c>
    </row>
    <row r="50" spans="1:16" ht="11.25" customHeight="1" x14ac:dyDescent="0.35">
      <c r="A50" s="7" t="s">
        <v>56</v>
      </c>
      <c r="B50" s="2"/>
      <c r="C50" s="2"/>
      <c r="E50" s="22"/>
      <c r="F50" s="23"/>
      <c r="G50" s="22"/>
      <c r="H50" s="23"/>
      <c r="I50" s="22"/>
      <c r="J50" s="23"/>
      <c r="K50" s="22"/>
      <c r="L50" s="23"/>
      <c r="M50" s="22"/>
      <c r="N50" s="23"/>
    </row>
    <row r="51" spans="1:16" ht="12" customHeight="1" x14ac:dyDescent="0.35">
      <c r="A51" s="9" t="s">
        <v>55</v>
      </c>
      <c r="B51" s="2"/>
      <c r="C51" s="2"/>
      <c r="E51" s="22">
        <v>4</v>
      </c>
      <c r="F51" s="23"/>
      <c r="G51" s="22">
        <v>3</v>
      </c>
      <c r="H51" s="23" t="s">
        <v>7</v>
      </c>
      <c r="I51" s="22">
        <v>3</v>
      </c>
      <c r="J51" s="23" t="s">
        <v>7</v>
      </c>
      <c r="K51" s="22">
        <v>2</v>
      </c>
      <c r="L51" s="23"/>
      <c r="M51" s="22">
        <v>3</v>
      </c>
      <c r="N51" s="23" t="s">
        <v>10</v>
      </c>
      <c r="O51" s="15">
        <f t="shared" si="0"/>
        <v>-33.299999999999997</v>
      </c>
      <c r="P51" s="15">
        <f t="shared" si="1"/>
        <v>50</v>
      </c>
    </row>
    <row r="52" spans="1:16" ht="12" customHeight="1" x14ac:dyDescent="0.35">
      <c r="A52" s="9" t="s">
        <v>57</v>
      </c>
      <c r="B52" s="2"/>
      <c r="C52" s="2"/>
      <c r="E52" s="22">
        <v>1880</v>
      </c>
      <c r="F52" s="23" t="s">
        <v>7</v>
      </c>
      <c r="G52" s="22">
        <v>3177</v>
      </c>
      <c r="H52" s="23" t="s">
        <v>7</v>
      </c>
      <c r="I52" s="22">
        <v>3300</v>
      </c>
      <c r="J52" s="23" t="s">
        <v>18</v>
      </c>
      <c r="K52" s="22">
        <v>3000</v>
      </c>
      <c r="L52" s="23" t="s">
        <v>10</v>
      </c>
      <c r="M52" s="22">
        <v>3200</v>
      </c>
      <c r="N52" s="23" t="s">
        <v>10</v>
      </c>
      <c r="O52" s="15">
        <f t="shared" si="0"/>
        <v>-9.1</v>
      </c>
      <c r="P52" s="15">
        <f t="shared" si="1"/>
        <v>6.7</v>
      </c>
    </row>
    <row r="53" spans="1:16" ht="12" customHeight="1" x14ac:dyDescent="0.35">
      <c r="A53" s="7" t="s">
        <v>58</v>
      </c>
      <c r="B53" s="2"/>
      <c r="C53" s="2"/>
      <c r="E53" s="22">
        <v>331</v>
      </c>
      <c r="F53" s="23" t="s">
        <v>7</v>
      </c>
      <c r="G53" s="22">
        <v>354</v>
      </c>
      <c r="H53" s="23" t="s">
        <v>7</v>
      </c>
      <c r="I53" s="22">
        <v>370</v>
      </c>
      <c r="J53" s="23" t="s">
        <v>18</v>
      </c>
      <c r="K53" s="22">
        <v>350</v>
      </c>
      <c r="L53" s="23" t="s">
        <v>10</v>
      </c>
      <c r="M53" s="22">
        <v>330</v>
      </c>
      <c r="N53" s="23" t="s">
        <v>10</v>
      </c>
      <c r="O53" s="15">
        <f t="shared" si="0"/>
        <v>-5.4</v>
      </c>
      <c r="P53" s="15">
        <f t="shared" si="1"/>
        <v>-5.7</v>
      </c>
    </row>
    <row r="54" spans="1:16" ht="12" customHeight="1" x14ac:dyDescent="0.35">
      <c r="A54" s="5" t="s">
        <v>59</v>
      </c>
      <c r="B54" s="2"/>
      <c r="C54" s="2"/>
      <c r="E54" s="22"/>
      <c r="F54" s="23"/>
      <c r="G54" s="22"/>
      <c r="H54" s="23"/>
      <c r="I54" s="22"/>
      <c r="J54" s="23"/>
      <c r="K54" s="22"/>
      <c r="L54" s="23"/>
      <c r="M54" s="22"/>
      <c r="N54" s="23"/>
    </row>
    <row r="55" spans="1:16" ht="11.25" customHeight="1" x14ac:dyDescent="0.35">
      <c r="A55" s="6" t="s">
        <v>60</v>
      </c>
      <c r="B55" s="2"/>
      <c r="C55" s="2"/>
      <c r="E55" s="22">
        <v>100</v>
      </c>
      <c r="F55" s="23"/>
      <c r="G55" s="22">
        <v>100</v>
      </c>
      <c r="H55" s="23"/>
      <c r="I55" s="22">
        <v>100</v>
      </c>
      <c r="J55" s="23"/>
      <c r="K55" s="22">
        <v>100</v>
      </c>
      <c r="L55" s="23"/>
      <c r="M55" s="22">
        <v>100</v>
      </c>
      <c r="N55" s="23"/>
      <c r="O55" s="15">
        <f>(K55-I55)/I55*100</f>
        <v>0</v>
      </c>
      <c r="P55" s="15">
        <f>(M55-K55)/K55*100</f>
        <v>0</v>
      </c>
    </row>
    <row r="56" spans="1:16" ht="12" customHeight="1" x14ac:dyDescent="0.35">
      <c r="A56" s="6" t="s">
        <v>61</v>
      </c>
      <c r="B56" s="2"/>
      <c r="C56" s="2"/>
      <c r="E56" s="22">
        <v>30</v>
      </c>
      <c r="F56" s="23" t="s">
        <v>7</v>
      </c>
      <c r="G56" s="22">
        <v>40</v>
      </c>
      <c r="H56" s="23" t="s">
        <v>7</v>
      </c>
      <c r="I56" s="22">
        <v>50</v>
      </c>
      <c r="J56" s="23" t="s">
        <v>7</v>
      </c>
      <c r="K56" s="22">
        <v>40</v>
      </c>
      <c r="L56" s="23"/>
      <c r="M56" s="22">
        <v>50</v>
      </c>
      <c r="N56" s="23"/>
      <c r="O56" s="15">
        <f t="shared" si="0"/>
        <v>-20</v>
      </c>
      <c r="P56" s="15">
        <f t="shared" si="1"/>
        <v>25</v>
      </c>
    </row>
    <row r="57" spans="1:16" ht="11.25" customHeight="1" x14ac:dyDescent="0.35">
      <c r="A57" s="50" t="s">
        <v>62</v>
      </c>
      <c r="B57" s="50"/>
      <c r="C57" s="50"/>
      <c r="E57" s="22"/>
      <c r="F57" s="23"/>
      <c r="G57" s="22"/>
      <c r="H57" s="23"/>
      <c r="I57" s="22"/>
      <c r="J57" s="23"/>
      <c r="K57" s="22"/>
      <c r="L57" s="23"/>
      <c r="M57" s="22"/>
      <c r="N57" s="23"/>
    </row>
    <row r="58" spans="1:16" ht="12" customHeight="1" x14ac:dyDescent="0.35">
      <c r="A58" s="5" t="s">
        <v>63</v>
      </c>
      <c r="B58" s="2"/>
      <c r="C58" s="2"/>
      <c r="E58" s="22">
        <v>91</v>
      </c>
      <c r="F58" s="23"/>
      <c r="G58" s="22">
        <v>66</v>
      </c>
      <c r="H58" s="23"/>
      <c r="I58" s="22">
        <v>89</v>
      </c>
      <c r="J58" s="23"/>
      <c r="K58" s="22">
        <v>102</v>
      </c>
      <c r="L58" s="23"/>
      <c r="M58" s="22">
        <v>105</v>
      </c>
      <c r="N58" s="23" t="s">
        <v>10</v>
      </c>
      <c r="O58" s="15">
        <f t="shared" si="0"/>
        <v>14.6</v>
      </c>
      <c r="P58" s="15">
        <f t="shared" si="1"/>
        <v>2.9</v>
      </c>
    </row>
    <row r="59" spans="1:16" ht="11.25" customHeight="1" x14ac:dyDescent="0.35">
      <c r="A59" s="5" t="s">
        <v>64</v>
      </c>
      <c r="B59" s="2"/>
      <c r="C59" s="2"/>
      <c r="E59" s="22"/>
      <c r="F59" s="23"/>
      <c r="G59" s="22"/>
      <c r="H59" s="23"/>
      <c r="I59" s="22"/>
      <c r="J59" s="23"/>
      <c r="K59" s="22"/>
      <c r="L59" s="23"/>
      <c r="M59" s="22"/>
      <c r="N59" s="23"/>
    </row>
    <row r="60" spans="1:16" ht="12" customHeight="1" x14ac:dyDescent="0.35">
      <c r="A60" s="6" t="s">
        <v>65</v>
      </c>
      <c r="B60" s="2"/>
      <c r="C60" s="2" t="s">
        <v>37</v>
      </c>
      <c r="E60" s="22">
        <v>135000</v>
      </c>
      <c r="F60" s="23" t="s">
        <v>7</v>
      </c>
      <c r="G60" s="22">
        <v>132000</v>
      </c>
      <c r="H60" s="23" t="s">
        <v>7</v>
      </c>
      <c r="I60" s="22">
        <v>127400</v>
      </c>
      <c r="J60" s="23" t="s">
        <v>7</v>
      </c>
      <c r="K60" s="22">
        <v>123200</v>
      </c>
      <c r="L60" s="23"/>
      <c r="M60" s="22">
        <v>132200</v>
      </c>
      <c r="N60" s="23"/>
      <c r="O60" s="15">
        <f t="shared" si="0"/>
        <v>-3.3</v>
      </c>
      <c r="P60" s="15">
        <f t="shared" si="1"/>
        <v>7.3</v>
      </c>
    </row>
    <row r="61" spans="1:16" ht="11.25" customHeight="1" x14ac:dyDescent="0.35">
      <c r="A61" s="6" t="s">
        <v>66</v>
      </c>
      <c r="B61" s="2"/>
      <c r="C61" s="2" t="s">
        <v>23</v>
      </c>
      <c r="E61" s="22">
        <v>96600</v>
      </c>
      <c r="F61" s="23"/>
      <c r="G61" s="22">
        <v>97500</v>
      </c>
      <c r="H61" s="23"/>
      <c r="I61" s="22">
        <v>90349</v>
      </c>
      <c r="J61" s="23"/>
      <c r="K61" s="22">
        <v>81500</v>
      </c>
      <c r="L61" s="23"/>
      <c r="M61" s="22">
        <v>100800</v>
      </c>
      <c r="N61" s="23"/>
      <c r="O61" s="15">
        <f t="shared" si="0"/>
        <v>-9.8000000000000007</v>
      </c>
      <c r="P61" s="15">
        <f t="shared" si="1"/>
        <v>23.7</v>
      </c>
    </row>
    <row r="62" spans="1:16" ht="11.25" customHeight="1" x14ac:dyDescent="0.35">
      <c r="A62" s="29" t="s">
        <v>67</v>
      </c>
      <c r="B62" s="11"/>
      <c r="C62" s="11"/>
      <c r="E62" s="22"/>
      <c r="F62" s="23"/>
      <c r="G62" s="22"/>
      <c r="H62" s="23"/>
      <c r="I62" s="22"/>
      <c r="J62" s="23"/>
      <c r="K62" s="22"/>
      <c r="L62" s="23"/>
      <c r="M62" s="22"/>
      <c r="N62" s="23"/>
    </row>
    <row r="63" spans="1:16" ht="12" customHeight="1" x14ac:dyDescent="0.35">
      <c r="A63" s="13" t="s">
        <v>86</v>
      </c>
      <c r="B63" s="3"/>
      <c r="C63" s="3" t="s">
        <v>68</v>
      </c>
      <c r="E63" s="22">
        <v>469755</v>
      </c>
      <c r="F63" s="23"/>
      <c r="G63" s="22">
        <v>459535</v>
      </c>
      <c r="H63" s="23" t="s">
        <v>7</v>
      </c>
      <c r="I63" s="22">
        <v>452235</v>
      </c>
      <c r="J63" s="23"/>
      <c r="K63" s="22">
        <v>400770</v>
      </c>
      <c r="L63" s="23"/>
      <c r="M63" s="22">
        <v>402600</v>
      </c>
      <c r="N63" s="23"/>
      <c r="O63" s="15">
        <f t="shared" si="0"/>
        <v>-11.4</v>
      </c>
      <c r="P63" s="15">
        <f t="shared" si="1"/>
        <v>0.5</v>
      </c>
    </row>
    <row r="64" spans="1:16" ht="12" customHeight="1" x14ac:dyDescent="0.35">
      <c r="A64" s="7" t="s">
        <v>87</v>
      </c>
      <c r="B64" s="2"/>
      <c r="C64" s="2"/>
      <c r="E64" s="22"/>
      <c r="F64" s="23"/>
      <c r="G64" s="22"/>
      <c r="H64" s="23"/>
      <c r="I64" s="22"/>
      <c r="J64" s="23"/>
      <c r="K64" s="22"/>
      <c r="L64" s="23"/>
      <c r="M64" s="22"/>
      <c r="N64" s="23"/>
    </row>
    <row r="65" spans="1:16" ht="11.25" customHeight="1" x14ac:dyDescent="0.35">
      <c r="A65" s="6" t="s">
        <v>69</v>
      </c>
      <c r="B65" s="2"/>
      <c r="C65" s="2" t="s">
        <v>23</v>
      </c>
      <c r="E65" s="25">
        <v>92710</v>
      </c>
      <c r="F65" s="26"/>
      <c r="G65" s="25">
        <v>91980</v>
      </c>
      <c r="H65" s="26"/>
      <c r="I65" s="25">
        <v>90155</v>
      </c>
      <c r="J65" s="26"/>
      <c r="K65" s="25">
        <v>85264</v>
      </c>
      <c r="L65" s="26"/>
      <c r="M65" s="25">
        <v>90520</v>
      </c>
      <c r="N65" s="26"/>
      <c r="O65" s="15">
        <f t="shared" si="0"/>
        <v>-5.4</v>
      </c>
      <c r="P65" s="15">
        <f t="shared" si="1"/>
        <v>6.2</v>
      </c>
    </row>
    <row r="66" spans="1:16" ht="11.25" customHeight="1" x14ac:dyDescent="0.35">
      <c r="A66" s="6" t="s">
        <v>70</v>
      </c>
      <c r="B66" s="2"/>
      <c r="C66" s="2"/>
      <c r="E66" s="22"/>
      <c r="F66" s="23"/>
      <c r="G66" s="22"/>
      <c r="H66" s="23"/>
      <c r="I66" s="22"/>
      <c r="J66" s="23"/>
      <c r="K66" s="22"/>
      <c r="L66" s="23"/>
      <c r="M66" s="22"/>
      <c r="N66" s="23"/>
    </row>
    <row r="67" spans="1:16" ht="12" customHeight="1" x14ac:dyDescent="0.35">
      <c r="A67" s="7" t="s">
        <v>71</v>
      </c>
      <c r="B67" s="2"/>
      <c r="C67" s="2" t="s">
        <v>23</v>
      </c>
      <c r="E67" s="22">
        <v>1214</v>
      </c>
      <c r="F67" s="23"/>
      <c r="G67" s="22">
        <v>1415</v>
      </c>
      <c r="H67" s="23"/>
      <c r="I67" s="22">
        <v>877</v>
      </c>
      <c r="J67" s="23"/>
      <c r="K67" s="22">
        <v>611</v>
      </c>
      <c r="L67" s="23"/>
      <c r="M67" s="22">
        <v>615</v>
      </c>
      <c r="N67" s="23" t="s">
        <v>10</v>
      </c>
      <c r="O67" s="15">
        <f t="shared" si="0"/>
        <v>-30.3</v>
      </c>
      <c r="P67" s="15">
        <f t="shared" si="1"/>
        <v>0.7</v>
      </c>
    </row>
    <row r="68" spans="1:16" ht="11.25" customHeight="1" x14ac:dyDescent="0.35">
      <c r="A68" s="7" t="s">
        <v>72</v>
      </c>
      <c r="B68" s="2"/>
      <c r="C68" s="2" t="s">
        <v>23</v>
      </c>
      <c r="E68" s="22">
        <v>61685</v>
      </c>
      <c r="F68" s="23"/>
      <c r="G68" s="22">
        <v>72270</v>
      </c>
      <c r="H68" s="23"/>
      <c r="I68" s="22">
        <v>78840</v>
      </c>
      <c r="J68" s="23"/>
      <c r="K68" s="22">
        <v>74825</v>
      </c>
      <c r="L68" s="23"/>
      <c r="M68" s="22">
        <v>77015</v>
      </c>
      <c r="N68" s="23"/>
      <c r="O68" s="15">
        <f t="shared" si="0"/>
        <v>-5.0999999999999996</v>
      </c>
      <c r="P68" s="15">
        <f t="shared" si="1"/>
        <v>2.9</v>
      </c>
    </row>
    <row r="69" spans="1:16" ht="11.25" customHeight="1" x14ac:dyDescent="0.35">
      <c r="A69" s="7" t="s">
        <v>73</v>
      </c>
      <c r="B69" s="2"/>
      <c r="C69" s="2"/>
      <c r="E69" s="22"/>
      <c r="F69" s="23"/>
      <c r="G69" s="22"/>
      <c r="H69" s="23"/>
      <c r="I69" s="22"/>
      <c r="J69" s="23"/>
      <c r="K69" s="22"/>
      <c r="L69" s="23"/>
      <c r="M69" s="22"/>
      <c r="N69" s="23"/>
    </row>
    <row r="70" spans="1:16" ht="11.25" customHeight="1" x14ac:dyDescent="0.35">
      <c r="A70" s="9" t="s">
        <v>74</v>
      </c>
      <c r="B70" s="2"/>
      <c r="C70" s="2" t="s">
        <v>23</v>
      </c>
      <c r="E70" s="22">
        <v>10235</v>
      </c>
      <c r="F70" s="23"/>
      <c r="G70" s="22">
        <v>9981</v>
      </c>
      <c r="H70" s="23"/>
      <c r="I70" s="22">
        <v>9728</v>
      </c>
      <c r="J70" s="23"/>
      <c r="K70" s="22">
        <v>9270</v>
      </c>
      <c r="L70" s="23"/>
      <c r="M70" s="22">
        <v>9300</v>
      </c>
      <c r="N70" s="23"/>
      <c r="O70" s="15">
        <f t="shared" si="0"/>
        <v>-4.7</v>
      </c>
      <c r="P70" s="15">
        <f t="shared" si="1"/>
        <v>0.3</v>
      </c>
    </row>
    <row r="71" spans="1:16" ht="12" customHeight="1" x14ac:dyDescent="0.35">
      <c r="A71" s="9" t="s">
        <v>75</v>
      </c>
      <c r="B71" s="2"/>
      <c r="C71" s="2" t="s">
        <v>23</v>
      </c>
      <c r="E71" s="22">
        <v>8600</v>
      </c>
      <c r="F71" s="23"/>
      <c r="G71" s="22">
        <v>6520</v>
      </c>
      <c r="H71" s="23"/>
      <c r="I71" s="22">
        <v>4956</v>
      </c>
      <c r="J71" s="23"/>
      <c r="K71" s="22">
        <v>7000</v>
      </c>
      <c r="L71" s="23"/>
      <c r="M71" s="22">
        <v>7000</v>
      </c>
      <c r="N71" s="23" t="s">
        <v>10</v>
      </c>
      <c r="O71" s="15">
        <f t="shared" si="0"/>
        <v>41.2</v>
      </c>
      <c r="P71" s="15">
        <f t="shared" si="1"/>
        <v>0</v>
      </c>
    </row>
    <row r="72" spans="1:16" ht="11.25" customHeight="1" x14ac:dyDescent="0.35">
      <c r="A72" s="7" t="s">
        <v>76</v>
      </c>
      <c r="B72" s="2"/>
      <c r="C72" s="2" t="s">
        <v>23</v>
      </c>
      <c r="E72" s="22">
        <v>13140</v>
      </c>
      <c r="F72" s="23"/>
      <c r="G72" s="22">
        <v>11680</v>
      </c>
      <c r="H72" s="23"/>
      <c r="I72" s="22">
        <v>12045</v>
      </c>
      <c r="J72" s="23"/>
      <c r="K72" s="22">
        <v>8000</v>
      </c>
      <c r="L72" s="23"/>
      <c r="M72" s="22">
        <v>6935</v>
      </c>
      <c r="N72" s="23"/>
      <c r="O72" s="15">
        <f t="shared" si="0"/>
        <v>-33.6</v>
      </c>
      <c r="P72" s="15">
        <f t="shared" si="1"/>
        <v>-13.3</v>
      </c>
    </row>
    <row r="73" spans="1:16" ht="12" customHeight="1" x14ac:dyDescent="0.35">
      <c r="A73" s="7" t="s">
        <v>77</v>
      </c>
      <c r="B73" s="2"/>
      <c r="C73" s="2" t="s">
        <v>23</v>
      </c>
      <c r="E73" s="22">
        <v>90075</v>
      </c>
      <c r="F73" s="23" t="s">
        <v>7</v>
      </c>
      <c r="G73" s="22">
        <v>88007</v>
      </c>
      <c r="H73" s="23" t="s">
        <v>7</v>
      </c>
      <c r="I73" s="22">
        <v>87380</v>
      </c>
      <c r="J73" s="23" t="s">
        <v>7</v>
      </c>
      <c r="K73" s="22">
        <v>85045</v>
      </c>
      <c r="L73" s="23"/>
      <c r="M73" s="22">
        <v>90870</v>
      </c>
      <c r="N73" s="23"/>
      <c r="O73" s="15">
        <f t="shared" si="0"/>
        <v>-2.7</v>
      </c>
      <c r="P73" s="15">
        <f t="shared" si="1"/>
        <v>6.8</v>
      </c>
    </row>
    <row r="74" spans="1:16" ht="12" customHeight="1" x14ac:dyDescent="0.35">
      <c r="A74" s="7" t="s">
        <v>78</v>
      </c>
      <c r="B74" s="2"/>
      <c r="C74" s="2" t="s">
        <v>23</v>
      </c>
      <c r="E74" s="22">
        <v>690</v>
      </c>
      <c r="F74" s="23"/>
      <c r="G74" s="22">
        <v>600</v>
      </c>
      <c r="H74" s="23"/>
      <c r="I74" s="22">
        <v>846</v>
      </c>
      <c r="J74" s="23"/>
      <c r="K74" s="22">
        <v>741</v>
      </c>
      <c r="L74" s="23"/>
      <c r="M74" s="22">
        <v>750</v>
      </c>
      <c r="N74" s="23" t="s">
        <v>10</v>
      </c>
      <c r="O74" s="15">
        <f t="shared" ref="O74:O77" si="2">(K74-I74)/I74*100</f>
        <v>-12.4</v>
      </c>
      <c r="P74" s="15">
        <f t="shared" ref="P74:P77" si="3">(M74-K74)/K74*100</f>
        <v>1.2</v>
      </c>
    </row>
    <row r="75" spans="1:16" ht="12" customHeight="1" x14ac:dyDescent="0.35">
      <c r="A75" s="7" t="s">
        <v>79</v>
      </c>
      <c r="B75" s="2"/>
      <c r="C75" s="2" t="s">
        <v>23</v>
      </c>
      <c r="E75" s="22">
        <v>71519</v>
      </c>
      <c r="F75" s="23" t="s">
        <v>7</v>
      </c>
      <c r="G75" s="22">
        <v>66756</v>
      </c>
      <c r="H75" s="23" t="s">
        <v>7</v>
      </c>
      <c r="I75" s="22">
        <v>63575</v>
      </c>
      <c r="J75" s="23" t="s">
        <v>7</v>
      </c>
      <c r="K75" s="22">
        <v>64152</v>
      </c>
      <c r="L75" s="23"/>
      <c r="M75" s="22">
        <v>64200</v>
      </c>
      <c r="N75" s="23" t="s">
        <v>10</v>
      </c>
      <c r="O75" s="15">
        <f t="shared" si="2"/>
        <v>0.9</v>
      </c>
      <c r="P75" s="15">
        <f t="shared" si="3"/>
        <v>0.1</v>
      </c>
    </row>
    <row r="76" spans="1:16" ht="11.25" customHeight="1" x14ac:dyDescent="0.35">
      <c r="A76" s="7" t="s">
        <v>80</v>
      </c>
      <c r="B76" s="2"/>
      <c r="C76" s="2" t="s">
        <v>23</v>
      </c>
      <c r="E76" s="22">
        <v>42705</v>
      </c>
      <c r="F76" s="23"/>
      <c r="G76" s="22">
        <v>38690</v>
      </c>
      <c r="H76" s="23"/>
      <c r="I76" s="22">
        <v>40150</v>
      </c>
      <c r="J76" s="23"/>
      <c r="K76" s="22">
        <v>40880</v>
      </c>
      <c r="L76" s="23"/>
      <c r="M76" s="22">
        <v>37960</v>
      </c>
      <c r="N76" s="23"/>
      <c r="O76" s="15">
        <f t="shared" si="2"/>
        <v>1.8</v>
      </c>
      <c r="P76" s="15">
        <f t="shared" si="3"/>
        <v>-7.1</v>
      </c>
    </row>
    <row r="77" spans="1:16" ht="12" customHeight="1" x14ac:dyDescent="0.35">
      <c r="A77" s="10" t="s">
        <v>81</v>
      </c>
      <c r="B77" s="11"/>
      <c r="C77" s="11" t="s">
        <v>23</v>
      </c>
      <c r="E77" s="27">
        <v>237000</v>
      </c>
      <c r="F77" s="28" t="s">
        <v>7</v>
      </c>
      <c r="G77" s="27">
        <v>222000</v>
      </c>
      <c r="H77" s="28" t="s">
        <v>7</v>
      </c>
      <c r="I77" s="27">
        <v>219000</v>
      </c>
      <c r="J77" s="28" t="s">
        <v>7</v>
      </c>
      <c r="K77" s="27">
        <v>215000</v>
      </c>
      <c r="L77" s="28"/>
      <c r="M77" s="27">
        <v>217000</v>
      </c>
      <c r="N77" s="28"/>
      <c r="O77" s="15">
        <f t="shared" si="2"/>
        <v>-1.8</v>
      </c>
      <c r="P77" s="15">
        <f t="shared" si="3"/>
        <v>0.9</v>
      </c>
    </row>
    <row r="78" spans="1:16" ht="11.25" customHeight="1" x14ac:dyDescent="0.35">
      <c r="A78" s="51" t="s">
        <v>82</v>
      </c>
      <c r="B78" s="51"/>
      <c r="C78" s="51"/>
      <c r="D78" s="51"/>
      <c r="E78" s="51"/>
      <c r="F78" s="51"/>
      <c r="G78" s="51"/>
      <c r="H78" s="51"/>
      <c r="I78" s="51"/>
      <c r="J78" s="51"/>
      <c r="K78" s="51"/>
      <c r="L78" s="51"/>
      <c r="M78" s="51"/>
      <c r="N78" s="51"/>
    </row>
    <row r="79" spans="1:16" ht="11.25" customHeight="1" x14ac:dyDescent="0.35">
      <c r="A79" s="52" t="s">
        <v>83</v>
      </c>
      <c r="B79" s="52"/>
      <c r="C79" s="52"/>
      <c r="D79" s="52"/>
      <c r="E79" s="52"/>
      <c r="F79" s="52"/>
      <c r="G79" s="52"/>
      <c r="H79" s="52"/>
      <c r="I79" s="52"/>
      <c r="J79" s="52"/>
      <c r="K79" s="52"/>
      <c r="L79" s="52"/>
      <c r="M79" s="52"/>
      <c r="N79" s="52"/>
    </row>
    <row r="80" spans="1:16" ht="11.25" customHeight="1" x14ac:dyDescent="0.35">
      <c r="A80" s="52" t="s">
        <v>84</v>
      </c>
      <c r="B80" s="52"/>
      <c r="C80" s="52"/>
      <c r="D80" s="52"/>
      <c r="E80" s="52"/>
      <c r="F80" s="52"/>
      <c r="G80" s="52"/>
      <c r="H80" s="52"/>
      <c r="I80" s="52"/>
      <c r="J80" s="52"/>
      <c r="K80" s="52"/>
      <c r="L80" s="52"/>
      <c r="M80" s="52"/>
      <c r="N80" s="52"/>
    </row>
    <row r="81" spans="1:14" ht="11.25" customHeight="1" x14ac:dyDescent="0.35">
      <c r="A81" s="53" t="s">
        <v>85</v>
      </c>
      <c r="B81" s="53"/>
      <c r="C81" s="53"/>
      <c r="D81" s="53"/>
      <c r="E81" s="53"/>
      <c r="F81" s="53"/>
      <c r="G81" s="53"/>
      <c r="H81" s="53"/>
      <c r="I81" s="53"/>
      <c r="J81" s="53"/>
      <c r="K81" s="53"/>
      <c r="L81" s="53"/>
      <c r="M81" s="53"/>
      <c r="N81" s="53"/>
    </row>
  </sheetData>
  <mergeCells count="13">
    <mergeCell ref="A20:C20"/>
    <mergeCell ref="A6:C6"/>
    <mergeCell ref="A7:C7"/>
    <mergeCell ref="A1:N1"/>
    <mergeCell ref="A2:N2"/>
    <mergeCell ref="A3:N3"/>
    <mergeCell ref="A4:N4"/>
    <mergeCell ref="A5:N5"/>
    <mergeCell ref="A57:C57"/>
    <mergeCell ref="A78:N78"/>
    <mergeCell ref="A79:N79"/>
    <mergeCell ref="A80:N80"/>
    <mergeCell ref="A81:N81"/>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afef00-3e19-424e-a66a-c96a9a38e464">
      <Terms xmlns="http://schemas.microsoft.com/office/infopath/2007/PartnerControls"/>
    </lcf76f155ced4ddcb4097134ff3c332f>
    <TaxCatchAll xmlns="fe77990d-a1e9-46bd-9909-a2604142316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1DA078-999B-4DDA-888E-C3A61698FF7B}">
  <ds:schemaRefs>
    <ds:schemaRef ds:uri="d925d976-9e2a-4bab-ad6d-d3ef45ec2550"/>
    <ds:schemaRef ds:uri="08020ff4-f632-4952-8504-a4a18e274e6c"/>
    <ds:schemaRef ds:uri="http://purl.org/dc/elements/1.1/"/>
    <ds:schemaRef ds:uri="http://schemas.microsoft.com/office/2006/metadata/properties"/>
    <ds:schemaRef ds:uri="31062a0d-ede8-4112-b4bb-00a9c1bc8e16"/>
    <ds:schemaRef ds:uri="http://schemas.microsoft.com/sharepoint/v3"/>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www.w3.org/XML/1998/namespace"/>
    <ds:schemaRef ds:uri="http://purl.org/dc/dcmitype/"/>
    <ds:schemaRef ds:uri="24afef00-3e19-424e-a66a-c96a9a38e464"/>
    <ds:schemaRef ds:uri="fe77990d-a1e9-46bd-9909-a26041423160"/>
  </ds:schemaRefs>
</ds:datastoreItem>
</file>

<file path=customXml/itemProps2.xml><?xml version="1.0" encoding="utf-8"?>
<ds:datastoreItem xmlns:ds="http://schemas.openxmlformats.org/officeDocument/2006/customXml" ds:itemID="{B6C9644F-92F3-4FF3-9132-7580352D4BBD}"/>
</file>

<file path=customXml/itemProps3.xml><?xml version="1.0" encoding="utf-8"?>
<ds:datastoreItem xmlns:ds="http://schemas.openxmlformats.org/officeDocument/2006/customXml" ds:itemID="{F94038ED-EF4D-4CBB-A215-8E2C5518AF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Taib, Mowafa</dc:creator>
  <cp:keywords/>
  <dc:description/>
  <cp:lastModifiedBy>Etikala Narendar, Rakesh</cp:lastModifiedBy>
  <cp:revision/>
  <dcterms:created xsi:type="dcterms:W3CDTF">2020-12-17T21:32:38Z</dcterms:created>
  <dcterms:modified xsi:type="dcterms:W3CDTF">2026-01-18T11:08:30Z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