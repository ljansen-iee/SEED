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fraunhofer-my.sharepoint.com/personal/rakesh_etikala_narendar_iee_fraunhofer_de/Documents/Desktop/sectoral-energy-demands/industry/input_data/cement/"/>
    </mc:Choice>
  </mc:AlternateContent>
  <xr:revisionPtr revIDLastSave="17" documentId="13_ncr:1_{9CCB8D40-AC7F-4772-98D1-57065433CEA9}" xr6:coauthVersionLast="47" xr6:coauthVersionMax="47" xr10:uidLastSave="{AF663CDB-A40A-539F-869D-20FBDD8DBB03}"/>
  <bookViews>
    <workbookView xWindow="21680" yWindow="2550" windowWidth="15330" windowHeight="15890" tabRatio="601" activeTab="1" xr2:uid="{00000000-000D-0000-FFFF-FFFF00000000}"/>
  </bookViews>
  <sheets>
    <sheet name="Note" sheetId="38" r:id="rId1"/>
    <sheet name="Table 1" sheetId="1" r:id="rId2"/>
    <sheet name="T2" sheetId="2" r:id="rId3"/>
    <sheet name="T3" sheetId="3" r:id="rId4"/>
    <sheet name="T4" sheetId="4" r:id="rId5"/>
    <sheet name="T5" sheetId="28" r:id="rId6"/>
    <sheet name="T6" sheetId="6" r:id="rId7"/>
    <sheet name="T7" sheetId="7" r:id="rId8"/>
    <sheet name="T8" sheetId="8" r:id="rId9"/>
    <sheet name="T9" sheetId="9" r:id="rId10"/>
    <sheet name="T10" sheetId="10" r:id="rId11"/>
    <sheet name="T11" sheetId="11" r:id="rId12"/>
    <sheet name="T12" sheetId="12" r:id="rId13"/>
    <sheet name="T13" sheetId="13" r:id="rId14"/>
    <sheet name="T14" sheetId="14" r:id="rId15"/>
    <sheet name="T15" sheetId="15" r:id="rId16"/>
    <sheet name="T16" sheetId="16" r:id="rId17"/>
    <sheet name="T17" sheetId="17" r:id="rId18"/>
    <sheet name="T18" sheetId="23" r:id="rId19"/>
    <sheet name="T19" sheetId="24" r:id="rId20"/>
    <sheet name="T20" sheetId="25" r:id="rId21"/>
    <sheet name="T21" sheetId="26" r:id="rId22"/>
    <sheet name="T22" sheetId="37" r:id="rId23"/>
  </sheets>
  <definedNames>
    <definedName name="_xlnm.Print_Area" localSheetId="3">'T3'!$A$1:$W$44</definedName>
    <definedName name="_xlnm.Print_Area" localSheetId="6">'T6'!$A$1:$I$52</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41" i="16" l="1"/>
  <c r="H41" i="16"/>
  <c r="E41" i="16"/>
  <c r="C41" i="16"/>
  <c r="L22" i="1"/>
  <c r="J22" i="1"/>
  <c r="D22" i="1"/>
  <c r="H22" i="1"/>
  <c r="F22" i="1"/>
</calcChain>
</file>

<file path=xl/sharedStrings.xml><?xml version="1.0" encoding="utf-8"?>
<sst xmlns="http://schemas.openxmlformats.org/spreadsheetml/2006/main" count="2480" uniqueCount="855">
  <si>
    <t>TABLE 3</t>
  </si>
  <si>
    <t>(Thousand metric tons unless otherwise specified)</t>
  </si>
  <si>
    <t xml:space="preserve">Number </t>
  </si>
  <si>
    <t>Grinding</t>
  </si>
  <si>
    <t>Percentage</t>
  </si>
  <si>
    <t xml:space="preserve">Yearend </t>
  </si>
  <si>
    <t>of plants</t>
  </si>
  <si>
    <t>Maine and New York</t>
  </si>
  <si>
    <t>Pennsylvania</t>
  </si>
  <si>
    <t>Illinois</t>
  </si>
  <si>
    <t>Indiana</t>
  </si>
  <si>
    <t xml:space="preserve">Michigan </t>
  </si>
  <si>
    <t>Ohio</t>
  </si>
  <si>
    <t>Iowa, Nebraska, South Dakota</t>
  </si>
  <si>
    <t>Kansas</t>
  </si>
  <si>
    <t>Missouri</t>
  </si>
  <si>
    <t>Florida</t>
  </si>
  <si>
    <t>Georgia, Maryland, Virginia, West Virginia</t>
  </si>
  <si>
    <t>South Carolina</t>
  </si>
  <si>
    <t>Arkansas and Oklahoma</t>
  </si>
  <si>
    <t>Texas, northern</t>
  </si>
  <si>
    <t>Texas, southern</t>
  </si>
  <si>
    <t>Arizona and New Mexico</t>
  </si>
  <si>
    <t>Colorado and Wyoming</t>
  </si>
  <si>
    <t>Alaska and Hawaii</t>
  </si>
  <si>
    <t>--</t>
  </si>
  <si>
    <t>California</t>
  </si>
  <si>
    <t>Oregon and Washington</t>
  </si>
  <si>
    <t>Puerto Rico</t>
  </si>
  <si>
    <t>TABLE 4</t>
  </si>
  <si>
    <t>Number</t>
  </si>
  <si>
    <t>of active</t>
  </si>
  <si>
    <t>Yearend</t>
  </si>
  <si>
    <t>plants</t>
  </si>
  <si>
    <t>Indiana and Ohio</t>
  </si>
  <si>
    <t>Michigan</t>
  </si>
  <si>
    <t>W</t>
  </si>
  <si>
    <t>Alabama, Kentucky, Tennessee</t>
  </si>
  <si>
    <t>TABLE 5</t>
  </si>
  <si>
    <t>Daily</t>
  </si>
  <si>
    <t>Average</t>
  </si>
  <si>
    <t>Apparent annual</t>
  </si>
  <si>
    <t>days of</t>
  </si>
  <si>
    <t>Production</t>
  </si>
  <si>
    <t>stocks</t>
  </si>
  <si>
    <t>Process used</t>
  </si>
  <si>
    <t>(thousand</t>
  </si>
  <si>
    <t>routine</t>
  </si>
  <si>
    <t>of capacity</t>
  </si>
  <si>
    <t>District</t>
  </si>
  <si>
    <t>Dry</t>
  </si>
  <si>
    <t>Wet</t>
  </si>
  <si>
    <t>Total</t>
  </si>
  <si>
    <t>metric tons)</t>
  </si>
  <si>
    <t>utilized</t>
  </si>
  <si>
    <t>8</t>
  </si>
  <si>
    <t/>
  </si>
  <si>
    <t>-- Zero.</t>
  </si>
  <si>
    <r>
      <t>10</t>
    </r>
    <r>
      <rPr>
        <sz val="8"/>
        <rFont val="Times New Roman"/>
        <family val="1"/>
      </rPr>
      <t>May not add to totals shown because of independent rounding.</t>
    </r>
  </si>
  <si>
    <t>TABLE 7</t>
  </si>
  <si>
    <r>
      <t>Conventional fuels</t>
    </r>
    <r>
      <rPr>
        <vertAlign val="superscript"/>
        <sz val="8"/>
        <rFont val="Times New Roman"/>
        <family val="1"/>
      </rPr>
      <t>3</t>
    </r>
  </si>
  <si>
    <r>
      <t>Waste fuels</t>
    </r>
    <r>
      <rPr>
        <vertAlign val="superscript"/>
        <sz val="8"/>
        <rFont val="Times New Roman"/>
        <family val="1"/>
      </rPr>
      <t>3</t>
    </r>
  </si>
  <si>
    <t>Quantity</t>
  </si>
  <si>
    <r>
      <t>Coal</t>
    </r>
    <r>
      <rPr>
        <vertAlign val="superscript"/>
        <sz val="8"/>
        <rFont val="Times New Roman"/>
        <family val="1"/>
      </rPr>
      <t>5</t>
    </r>
  </si>
  <si>
    <t>Petcoke</t>
  </si>
  <si>
    <r>
      <t>Oil</t>
    </r>
    <r>
      <rPr>
        <vertAlign val="superscript"/>
        <sz val="8"/>
        <rFont val="Times New Roman"/>
        <family val="1"/>
      </rPr>
      <t>6</t>
    </r>
  </si>
  <si>
    <r>
      <t>Natural gas</t>
    </r>
    <r>
      <rPr>
        <vertAlign val="superscript"/>
        <sz val="8"/>
        <rFont val="Times New Roman"/>
        <family val="1"/>
      </rPr>
      <t>7</t>
    </r>
  </si>
  <si>
    <t>Tires</t>
  </si>
  <si>
    <t>Solid</t>
  </si>
  <si>
    <t>Liquid</t>
  </si>
  <si>
    <t>Kiln process</t>
  </si>
  <si>
    <r>
      <t>of plants</t>
    </r>
    <r>
      <rPr>
        <vertAlign val="superscript"/>
        <sz val="8"/>
        <rFont val="Times New Roman"/>
        <family val="1"/>
      </rPr>
      <t>4</t>
    </r>
  </si>
  <si>
    <t>of total</t>
  </si>
  <si>
    <t>liters)</t>
  </si>
  <si>
    <t>cubic meters)</t>
  </si>
  <si>
    <r>
      <t>3</t>
    </r>
    <r>
      <rPr>
        <sz val="8"/>
        <rFont val="Times New Roman"/>
        <family val="1"/>
      </rPr>
      <t>All fuel data have been rounded to no more than three significant digits.</t>
    </r>
  </si>
  <si>
    <r>
      <t>5</t>
    </r>
    <r>
      <rPr>
        <sz val="8"/>
        <rFont val="Times New Roman"/>
        <family val="1"/>
      </rPr>
      <t>All reported to be bituminous.</t>
    </r>
  </si>
  <si>
    <r>
      <t>7</t>
    </r>
    <r>
      <rPr>
        <sz val="8"/>
        <rFont val="Times New Roman"/>
        <family val="1"/>
      </rPr>
      <t>Includes landfill gas and propane.</t>
    </r>
  </si>
  <si>
    <t>TABLE 6</t>
  </si>
  <si>
    <r>
      <t>RAW MATERIALS USED TO PRODUCE CLINKER AND CEMENT IN THE UNITED STATES</t>
    </r>
    <r>
      <rPr>
        <vertAlign val="superscript"/>
        <sz val="8"/>
        <rFont val="Times New Roman"/>
        <family val="1"/>
      </rPr>
      <t>1, 2</t>
    </r>
  </si>
  <si>
    <t>(Thousand metric tons)</t>
  </si>
  <si>
    <t xml:space="preserve"> Material</t>
  </si>
  <si>
    <t>Clinker</t>
  </si>
  <si>
    <r>
      <t>Cement</t>
    </r>
    <r>
      <rPr>
        <vertAlign val="superscript"/>
        <sz val="8"/>
        <rFont val="Times New Roman"/>
        <family val="1"/>
      </rPr>
      <t>3</t>
    </r>
  </si>
  <si>
    <t>Calcareous:</t>
  </si>
  <si>
    <t>Limestone (aragonite, chalk, coral, marble)</t>
  </si>
  <si>
    <t>Cement rock (includes marl)</t>
  </si>
  <si>
    <t>Other</t>
  </si>
  <si>
    <t>Aluminous:</t>
  </si>
  <si>
    <t>Clay</t>
  </si>
  <si>
    <t>Shale and schist</t>
  </si>
  <si>
    <r>
      <t>Other</t>
    </r>
    <r>
      <rPr>
        <vertAlign val="superscript"/>
        <sz val="8"/>
        <rFont val="Times New Roman"/>
        <family val="1"/>
      </rPr>
      <t>6</t>
    </r>
  </si>
  <si>
    <t>Ferrous:</t>
  </si>
  <si>
    <t>Iron ore</t>
  </si>
  <si>
    <t>Mill scale</t>
  </si>
  <si>
    <t>Siliceous:</t>
  </si>
  <si>
    <t>Sand, calcium silicates</t>
  </si>
  <si>
    <t>Sandstone, quartzite, soils, nonpozzolanic rocks</t>
  </si>
  <si>
    <t>Fly ash</t>
  </si>
  <si>
    <t>Other ash, including bottom ash</t>
  </si>
  <si>
    <t>Other blast furnace slag</t>
  </si>
  <si>
    <t>Steel slag</t>
  </si>
  <si>
    <t>Other slag</t>
  </si>
  <si>
    <t>Other:</t>
  </si>
  <si>
    <t>Gypsum and anhydrite</t>
  </si>
  <si>
    <r>
      <t>3</t>
    </r>
    <r>
      <rPr>
        <sz val="8"/>
        <rFont val="Times New Roman"/>
        <family val="1"/>
      </rPr>
      <t>Includes portland, blended, and masonry cements.</t>
    </r>
  </si>
  <si>
    <t>TABLE 8</t>
  </si>
  <si>
    <r>
      <t>ELECTRICITY CONSUMED BY U.S. CEMENT PLANTS, BY PLANT PROCESS</t>
    </r>
    <r>
      <rPr>
        <vertAlign val="superscript"/>
        <sz val="8"/>
        <rFont val="Times New Roman"/>
        <family val="1"/>
      </rPr>
      <t>1</t>
    </r>
  </si>
  <si>
    <r>
      <t>Electricity consumed</t>
    </r>
    <r>
      <rPr>
        <vertAlign val="superscript"/>
        <sz val="8"/>
        <rFont val="Times New Roman"/>
        <family val="1"/>
      </rPr>
      <t>2</t>
    </r>
  </si>
  <si>
    <t xml:space="preserve">Generated </t>
  </si>
  <si>
    <t>Purchased</t>
  </si>
  <si>
    <t>Cement</t>
  </si>
  <si>
    <t>consumption</t>
  </si>
  <si>
    <t>(million</t>
  </si>
  <si>
    <t>per ton of</t>
  </si>
  <si>
    <t>Plant process</t>
  </si>
  <si>
    <t>cement produced)</t>
  </si>
  <si>
    <t>Integrated plants:</t>
  </si>
  <si>
    <t>XX</t>
  </si>
  <si>
    <t xml:space="preserve">-- </t>
  </si>
  <si>
    <t>TABLE 10</t>
  </si>
  <si>
    <t>Plant to terminal</t>
  </si>
  <si>
    <t>Plant to customer</t>
  </si>
  <si>
    <t>Terminal to customer</t>
  </si>
  <si>
    <t>Total to</t>
  </si>
  <si>
    <t xml:space="preserve">Type of carrier </t>
  </si>
  <si>
    <t>In bulk</t>
  </si>
  <si>
    <t>Railroad</t>
  </si>
  <si>
    <t xml:space="preserve"> </t>
  </si>
  <si>
    <t>Truck</t>
  </si>
  <si>
    <t>Barge and boat</t>
  </si>
  <si>
    <r>
      <t>Total</t>
    </r>
    <r>
      <rPr>
        <vertAlign val="superscript"/>
        <sz val="8"/>
        <rFont val="Times New Roman"/>
        <family val="1"/>
      </rPr>
      <t>4</t>
    </r>
  </si>
  <si>
    <r>
      <t>2</t>
    </r>
    <r>
      <rPr>
        <sz val="8"/>
        <rFont val="Times New Roman"/>
        <family val="1"/>
      </rPr>
      <t>Data are rounded to no more than three significant digits.</t>
    </r>
  </si>
  <si>
    <r>
      <t>4</t>
    </r>
    <r>
      <rPr>
        <sz val="8"/>
        <rFont val="Times New Roman"/>
        <family val="1"/>
      </rPr>
      <t>May not add to totals shown because of independent rounding.</t>
    </r>
  </si>
  <si>
    <t>TABLE 11</t>
  </si>
  <si>
    <r>
      <t>Quantity</t>
    </r>
    <r>
      <rPr>
        <vertAlign val="superscript"/>
        <sz val="8"/>
        <rFont val="Times New Roman"/>
        <family val="1"/>
      </rPr>
      <t>3</t>
    </r>
  </si>
  <si>
    <t xml:space="preserve">(per </t>
  </si>
  <si>
    <t>(thousands)</t>
  </si>
  <si>
    <t>metric ton)</t>
  </si>
  <si>
    <t>Montana, Nevada, Utah</t>
  </si>
  <si>
    <t>TABLE 12</t>
  </si>
  <si>
    <r>
      <t>Quantity</t>
    </r>
    <r>
      <rPr>
        <vertAlign val="superscript"/>
        <sz val="8"/>
        <rFont val="Times New Roman"/>
        <family val="1"/>
      </rPr>
      <t>4</t>
    </r>
  </si>
  <si>
    <t>(per</t>
  </si>
  <si>
    <t>Illinois, Indiana, Ohio</t>
  </si>
  <si>
    <t>Kansas and Missouri</t>
  </si>
  <si>
    <r>
      <t>2</t>
    </r>
    <r>
      <rPr>
        <sz val="8"/>
        <rFont val="Times New Roman"/>
        <family val="1"/>
      </rPr>
      <t xml:space="preserve">Data include true masonry, plastic, portland-lime, and stucco cements. </t>
    </r>
  </si>
  <si>
    <t>TABLE 13</t>
  </si>
  <si>
    <t>(Dollars per metric ton)</t>
  </si>
  <si>
    <t>Masonry</t>
  </si>
  <si>
    <t>All</t>
  </si>
  <si>
    <t>Year</t>
  </si>
  <si>
    <t>Gray</t>
  </si>
  <si>
    <r>
      <t>White</t>
    </r>
    <r>
      <rPr>
        <vertAlign val="superscript"/>
        <sz val="8"/>
        <rFont val="Times New Roman"/>
        <family val="1"/>
      </rPr>
      <t>3</t>
    </r>
  </si>
  <si>
    <t>cement</t>
  </si>
  <si>
    <r>
      <t>2</t>
    </r>
    <r>
      <rPr>
        <sz val="8"/>
        <rFont val="Times New Roman"/>
        <family val="1"/>
      </rPr>
      <t>Data are rounded to the nearest $0.50 per metric ton.</t>
    </r>
  </si>
  <si>
    <r>
      <t>3</t>
    </r>
    <r>
      <rPr>
        <sz val="8"/>
        <rFont val="Times New Roman"/>
        <family val="1"/>
      </rPr>
      <t>Data for white cement include a component of resales showing significant price markups.</t>
    </r>
  </si>
  <si>
    <t>TABLE 14</t>
  </si>
  <si>
    <t>Oil well,</t>
  </si>
  <si>
    <t>Ready-</t>
  </si>
  <si>
    <t>Concrete</t>
  </si>
  <si>
    <t>Building</t>
  </si>
  <si>
    <t>mining,</t>
  </si>
  <si>
    <t>Government</t>
  </si>
  <si>
    <t>mixed</t>
  </si>
  <si>
    <t>product</t>
  </si>
  <si>
    <t>material</t>
  </si>
  <si>
    <t>waste</t>
  </si>
  <si>
    <t>and</t>
  </si>
  <si>
    <r>
      <t>District</t>
    </r>
    <r>
      <rPr>
        <vertAlign val="superscript"/>
        <sz val="8"/>
        <rFont val="Times New Roman"/>
        <family val="1"/>
      </rPr>
      <t>2</t>
    </r>
  </si>
  <si>
    <t>concrete</t>
  </si>
  <si>
    <t>manufacturers</t>
  </si>
  <si>
    <t>Contractors</t>
  </si>
  <si>
    <t>dealers</t>
  </si>
  <si>
    <t>stabilization</t>
  </si>
  <si>
    <r>
      <t>other</t>
    </r>
    <r>
      <rPr>
        <vertAlign val="superscript"/>
        <sz val="8"/>
        <rFont val="Times New Roman"/>
        <family val="1"/>
      </rPr>
      <t>3</t>
    </r>
  </si>
  <si>
    <r>
      <t>Total</t>
    </r>
    <r>
      <rPr>
        <vertAlign val="superscript"/>
        <sz val="8"/>
        <rFont val="Times New Roman"/>
        <family val="1"/>
      </rPr>
      <t>5</t>
    </r>
  </si>
  <si>
    <r>
      <t>Grand total</t>
    </r>
    <r>
      <rPr>
        <vertAlign val="superscript"/>
        <sz val="8"/>
        <rFont val="Times New Roman"/>
        <family val="1"/>
      </rPr>
      <t>5</t>
    </r>
  </si>
  <si>
    <r>
      <t>3</t>
    </r>
    <r>
      <rPr>
        <sz val="8"/>
        <rFont val="Times New Roman"/>
        <family val="1"/>
      </rPr>
      <t>Includes shipments to miscellaneous customer types and for which customer types were not specified.</t>
    </r>
  </si>
  <si>
    <r>
      <t>5</t>
    </r>
    <r>
      <rPr>
        <sz val="8"/>
        <rFont val="Times New Roman"/>
        <family val="1"/>
      </rPr>
      <t>May not add to totals shown because of independent rounding.</t>
    </r>
  </si>
  <si>
    <t>TABLE 15</t>
  </si>
  <si>
    <r>
      <t>Type of cement</t>
    </r>
    <r>
      <rPr>
        <vertAlign val="superscript"/>
        <sz val="8"/>
        <rFont val="Times New Roman"/>
        <family val="1"/>
      </rPr>
      <t>4</t>
    </r>
  </si>
  <si>
    <r>
      <t>General use and moderate heat (Types I and II)</t>
    </r>
    <r>
      <rPr>
        <vertAlign val="superscript"/>
        <sz val="8"/>
        <rFont val="Times New Roman"/>
        <family val="1"/>
      </rPr>
      <t>5, 6</t>
    </r>
  </si>
  <si>
    <t>High early strength (Type III)</t>
  </si>
  <si>
    <t>Block</t>
  </si>
  <si>
    <t>Oil well</t>
  </si>
  <si>
    <r>
      <t>White</t>
    </r>
    <r>
      <rPr>
        <vertAlign val="superscript"/>
        <sz val="8"/>
        <rFont val="Times New Roman"/>
        <family val="1"/>
      </rPr>
      <t>7</t>
    </r>
  </si>
  <si>
    <r>
      <t>Blended:</t>
    </r>
    <r>
      <rPr>
        <vertAlign val="superscript"/>
        <sz val="8"/>
        <rFont val="Times New Roman"/>
        <family val="1"/>
      </rPr>
      <t>8</t>
    </r>
  </si>
  <si>
    <t>Portland, natural pozzolans</t>
  </si>
  <si>
    <t>Portland, ground granulated blast furnace slag</t>
  </si>
  <si>
    <t>Portland, fly ash</t>
  </si>
  <si>
    <t>Expansive and regulated fast setting</t>
  </si>
  <si>
    <r>
      <t>3</t>
    </r>
    <r>
      <rPr>
        <sz val="8"/>
        <rFont val="Times New Roman"/>
        <family val="1"/>
      </rPr>
      <t>Gray portland-type cements unless otherwise specified.</t>
    </r>
  </si>
  <si>
    <r>
      <t>6</t>
    </r>
    <r>
      <rPr>
        <sz val="8"/>
        <rFont val="Times New Roman"/>
        <family val="1"/>
      </rPr>
      <t>Includes ASTM C1157 general use and moderate heat cements that contain no pozzolans.</t>
    </r>
  </si>
  <si>
    <r>
      <t>8</t>
    </r>
    <r>
      <rPr>
        <sz val="8"/>
        <rFont val="Times New Roman"/>
        <family val="1"/>
      </rPr>
      <t>Cements sold under ASTM C595 and those under ASTM C1157 that contain pozzolans.</t>
    </r>
  </si>
  <si>
    <t>TABLE 2</t>
  </si>
  <si>
    <t>COUNTY BASIS OF SUBDIVISION OF STATES IN CEMENT TABLES</t>
  </si>
  <si>
    <t>State subdivision</t>
  </si>
  <si>
    <t>Defining counties</t>
  </si>
  <si>
    <t>California, northern</t>
  </si>
  <si>
    <t>Alpine, Fresno, Kings, Madera, Mariposa, Monterey, Tulare, Tuolumne, and all counties farther north.</t>
  </si>
  <si>
    <t>California, southern</t>
  </si>
  <si>
    <t>Inyo, Kern, Mono, San Luis Obispo, and all counties farther south.</t>
  </si>
  <si>
    <t>Illinois, excluding Chicago</t>
  </si>
  <si>
    <t>All counties other than those in metropolitan Chicago.</t>
  </si>
  <si>
    <t>Illinois, metropolitan Chicago</t>
  </si>
  <si>
    <t>New York, eastern</t>
  </si>
  <si>
    <t xml:space="preserve">Delaware, Franklin, Hamilton, Herkimer, Otsego, and all counties farther east and south, except those </t>
  </si>
  <si>
    <t>within metropolitan New York.</t>
  </si>
  <si>
    <t>New York, western</t>
  </si>
  <si>
    <t>Broome, Chenango, Lewis, Madison, Oneida, St. Lawrence, and all counties farther west.</t>
  </si>
  <si>
    <t>New York, metropolitan</t>
  </si>
  <si>
    <t xml:space="preserve">New York City (Bronx, Kings, New York, Queens, and Richmond), Nassau, Rockland, Suffolk, and </t>
  </si>
  <si>
    <t>Westchester.</t>
  </si>
  <si>
    <t>Pennsylvania, eastern</t>
  </si>
  <si>
    <t>Adams, Cumberland, Juniata, Lycoming, Mifflin, Perry, Tioga, Union, and all counties farther east.</t>
  </si>
  <si>
    <t>Pennsylvania, western</t>
  </si>
  <si>
    <t>Centre, Clinton, Franklin, Huntingdon, Potter, and all counties farther west.</t>
  </si>
  <si>
    <t>Angelina, Bell, Concho, Crane, Culberson, El Paso, Falls, Houston, Hudspeth, Irion, Lampasas, Leon,</t>
  </si>
  <si>
    <t xml:space="preserve">Limestone, McCulloch, Reagan, Reeves, Sabine, San Augustine, San Saba, Tom Green, Trinity, Upton, </t>
  </si>
  <si>
    <t>Ward, and all counties farther north.</t>
  </si>
  <si>
    <t xml:space="preserve">Brazos, Burnet, Crockett, Jasper, Jeff Davis, Llano, Madison, Mason, Menard, Milam, Newton, Pecos, </t>
  </si>
  <si>
    <t>Polk, Robertson, San Jacinto, Schleicher, Tyler, Walker, Williamson, and all counties farther south.</t>
  </si>
  <si>
    <t>TABLE 1</t>
  </si>
  <si>
    <t>thousand dollars</t>
  </si>
  <si>
    <t>dollars per metric ton</t>
  </si>
  <si>
    <t>Stocks, yearend:</t>
  </si>
  <si>
    <t>Exports</t>
  </si>
  <si>
    <r>
      <t>2</t>
    </r>
    <r>
      <rPr>
        <sz val="8"/>
        <rFont val="Times New Roman"/>
        <family val="1"/>
      </rPr>
      <t>Excludes Puerto Rico.</t>
    </r>
  </si>
  <si>
    <t>TABLE 9</t>
  </si>
  <si>
    <t>Masonry cement</t>
  </si>
  <si>
    <t>Destination and origin</t>
  </si>
  <si>
    <t>Destination:</t>
  </si>
  <si>
    <t>Alabama</t>
  </si>
  <si>
    <r>
      <t>Alaska</t>
    </r>
    <r>
      <rPr>
        <vertAlign val="superscript"/>
        <sz val="8"/>
        <rFont val="Times New Roman"/>
        <family val="1"/>
      </rPr>
      <t>3</t>
    </r>
  </si>
  <si>
    <t>Arizona</t>
  </si>
  <si>
    <t>Arkansas</t>
  </si>
  <si>
    <t>Colorado</t>
  </si>
  <si>
    <r>
      <t>Connecticut</t>
    </r>
    <r>
      <rPr>
        <vertAlign val="superscript"/>
        <sz val="8"/>
        <rFont val="Times New Roman"/>
        <family val="1"/>
      </rPr>
      <t>3</t>
    </r>
  </si>
  <si>
    <r>
      <t>Delaware</t>
    </r>
    <r>
      <rPr>
        <vertAlign val="superscript"/>
        <sz val="8"/>
        <rFont val="Times New Roman"/>
        <family val="1"/>
      </rPr>
      <t>3</t>
    </r>
  </si>
  <si>
    <r>
      <t>District of Columbia</t>
    </r>
    <r>
      <rPr>
        <vertAlign val="superscript"/>
        <sz val="8"/>
        <rFont val="Times New Roman"/>
        <family val="1"/>
      </rPr>
      <t>3</t>
    </r>
  </si>
  <si>
    <t>(4)</t>
  </si>
  <si>
    <t>Georgia</t>
  </si>
  <si>
    <r>
      <t>Hawaii</t>
    </r>
    <r>
      <rPr>
        <vertAlign val="superscript"/>
        <sz val="8"/>
        <rFont val="Times New Roman"/>
        <family val="1"/>
      </rPr>
      <t>3</t>
    </r>
  </si>
  <si>
    <r>
      <t>Idaho</t>
    </r>
    <r>
      <rPr>
        <vertAlign val="superscript"/>
        <sz val="8"/>
        <rFont val="Times New Roman"/>
        <family val="1"/>
      </rPr>
      <t>3</t>
    </r>
  </si>
  <si>
    <r>
      <t>Illinois, metropolitan Chicago</t>
    </r>
    <r>
      <rPr>
        <vertAlign val="superscript"/>
        <sz val="8"/>
        <rFont val="Times New Roman"/>
        <family val="1"/>
      </rPr>
      <t>3</t>
    </r>
  </si>
  <si>
    <t>Iowa</t>
  </si>
  <si>
    <t>Kentucky</t>
  </si>
  <si>
    <t>Maine</t>
  </si>
  <si>
    <t>Maryland</t>
  </si>
  <si>
    <r>
      <t>Massachusetts</t>
    </r>
    <r>
      <rPr>
        <vertAlign val="superscript"/>
        <sz val="8"/>
        <rFont val="Times New Roman"/>
        <family val="1"/>
      </rPr>
      <t>3</t>
    </r>
  </si>
  <si>
    <r>
      <t>Minnesota</t>
    </r>
    <r>
      <rPr>
        <vertAlign val="superscript"/>
        <sz val="8"/>
        <rFont val="Times New Roman"/>
        <family val="1"/>
      </rPr>
      <t>3</t>
    </r>
  </si>
  <si>
    <r>
      <t>Mississippi</t>
    </r>
    <r>
      <rPr>
        <vertAlign val="superscript"/>
        <sz val="8"/>
        <rFont val="Times New Roman"/>
        <family val="1"/>
      </rPr>
      <t>3</t>
    </r>
  </si>
  <si>
    <t>Montana</t>
  </si>
  <si>
    <t>Nebraska</t>
  </si>
  <si>
    <t>Nevada</t>
  </si>
  <si>
    <r>
      <t>New Hampshire</t>
    </r>
    <r>
      <rPr>
        <vertAlign val="superscript"/>
        <sz val="8"/>
        <rFont val="Times New Roman"/>
        <family val="1"/>
      </rPr>
      <t>3</t>
    </r>
  </si>
  <si>
    <r>
      <t>New Jersey</t>
    </r>
    <r>
      <rPr>
        <vertAlign val="superscript"/>
        <sz val="8"/>
        <rFont val="Times New Roman"/>
        <family val="1"/>
      </rPr>
      <t>3</t>
    </r>
  </si>
  <si>
    <t>New Mexico</t>
  </si>
  <si>
    <r>
      <t>New York, western</t>
    </r>
    <r>
      <rPr>
        <vertAlign val="superscript"/>
        <sz val="8"/>
        <rFont val="Times New Roman"/>
        <family val="1"/>
      </rPr>
      <t>3</t>
    </r>
  </si>
  <si>
    <r>
      <t>New York, metropolitan</t>
    </r>
    <r>
      <rPr>
        <vertAlign val="superscript"/>
        <sz val="8"/>
        <rFont val="Times New Roman"/>
        <family val="1"/>
      </rPr>
      <t>3</t>
    </r>
  </si>
  <si>
    <r>
      <t>North Carolina</t>
    </r>
    <r>
      <rPr>
        <vertAlign val="superscript"/>
        <sz val="8"/>
        <rFont val="Times New Roman"/>
        <family val="1"/>
      </rPr>
      <t>3</t>
    </r>
  </si>
  <si>
    <r>
      <t>North Dakota</t>
    </r>
    <r>
      <rPr>
        <vertAlign val="superscript"/>
        <sz val="8"/>
        <rFont val="Times New Roman"/>
        <family val="1"/>
      </rPr>
      <t>3</t>
    </r>
  </si>
  <si>
    <t>Oklahoma</t>
  </si>
  <si>
    <t>Oregon</t>
  </si>
  <si>
    <r>
      <t>Rhode Island</t>
    </r>
    <r>
      <rPr>
        <vertAlign val="superscript"/>
        <sz val="8"/>
        <rFont val="Times New Roman"/>
        <family val="1"/>
      </rPr>
      <t>3</t>
    </r>
  </si>
  <si>
    <t>South Dakota</t>
  </si>
  <si>
    <t>Tennessee</t>
  </si>
  <si>
    <t>Utah</t>
  </si>
  <si>
    <r>
      <t>Vermont</t>
    </r>
    <r>
      <rPr>
        <vertAlign val="superscript"/>
        <sz val="8"/>
        <rFont val="Times New Roman"/>
        <family val="1"/>
      </rPr>
      <t>3</t>
    </r>
  </si>
  <si>
    <t>Virginia</t>
  </si>
  <si>
    <t>Washington</t>
  </si>
  <si>
    <t>West Virginia</t>
  </si>
  <si>
    <r>
      <t>Wisconsin</t>
    </r>
    <r>
      <rPr>
        <vertAlign val="superscript"/>
        <sz val="8"/>
        <rFont val="Times New Roman"/>
        <family val="1"/>
      </rPr>
      <t>3</t>
    </r>
  </si>
  <si>
    <t>Wyoming</t>
  </si>
  <si>
    <t>Origin:</t>
  </si>
  <si>
    <t>United States</t>
  </si>
  <si>
    <r>
      <t>Total shipments</t>
    </r>
    <r>
      <rPr>
        <vertAlign val="superscript"/>
        <sz val="8"/>
        <rFont val="Times New Roman"/>
        <family val="1"/>
      </rPr>
      <t>5</t>
    </r>
  </si>
  <si>
    <r>
      <t>3</t>
    </r>
    <r>
      <rPr>
        <sz val="8"/>
        <rFont val="Times New Roman"/>
        <family val="1"/>
      </rPr>
      <t>Has no cement plants.</t>
    </r>
  </si>
  <si>
    <r>
      <t>4</t>
    </r>
    <r>
      <rPr>
        <sz val="8"/>
        <rFont val="Times New Roman"/>
        <family val="1"/>
      </rPr>
      <t>Less than ½ unit.</t>
    </r>
  </si>
  <si>
    <r>
      <t>6</t>
    </r>
    <r>
      <rPr>
        <sz val="8"/>
        <rFont val="Times New Roman"/>
        <family val="1"/>
      </rPr>
      <t>Includes shipments to U.S. possessions and territories.</t>
    </r>
  </si>
  <si>
    <t xml:space="preserve">TABLE 16 </t>
  </si>
  <si>
    <t>(Thousand metric tons and thousand dollars)</t>
  </si>
  <si>
    <t>Australia</t>
  </si>
  <si>
    <t>Brazil</t>
  </si>
  <si>
    <t>Canada</t>
  </si>
  <si>
    <t>Cayman Islands</t>
  </si>
  <si>
    <t>Chile</t>
  </si>
  <si>
    <t>China</t>
  </si>
  <si>
    <t>Dominican Republic</t>
  </si>
  <si>
    <t>Germany</t>
  </si>
  <si>
    <t>Jamaica</t>
  </si>
  <si>
    <t>Japan</t>
  </si>
  <si>
    <t>Korea, Republic of</t>
  </si>
  <si>
    <t>Mexico</t>
  </si>
  <si>
    <t>Panama</t>
  </si>
  <si>
    <t>Poland</t>
  </si>
  <si>
    <t>Taiwan</t>
  </si>
  <si>
    <t>Thailand</t>
  </si>
  <si>
    <t>United Kingdom</t>
  </si>
  <si>
    <t>Venezuela</t>
  </si>
  <si>
    <t>Puerto Rico:</t>
  </si>
  <si>
    <t>Source: U.S. Census Bureau.</t>
  </si>
  <si>
    <t>TABLE 17</t>
  </si>
  <si>
    <t>Value</t>
  </si>
  <si>
    <r>
      <t>Customs</t>
    </r>
    <r>
      <rPr>
        <vertAlign val="superscript"/>
        <sz val="8"/>
        <rFont val="Times New Roman"/>
        <family val="1"/>
      </rPr>
      <t>2</t>
    </r>
  </si>
  <si>
    <r>
      <t>C.i.f.</t>
    </r>
    <r>
      <rPr>
        <vertAlign val="superscript"/>
        <sz val="8"/>
        <rFont val="Times New Roman"/>
        <family val="1"/>
      </rPr>
      <t>3</t>
    </r>
  </si>
  <si>
    <r>
      <t>Canada</t>
    </r>
    <r>
      <rPr>
        <vertAlign val="superscript"/>
        <sz val="8"/>
        <color theme="1"/>
        <rFont val="Times New Roman"/>
        <family val="1"/>
      </rPr>
      <t>4</t>
    </r>
  </si>
  <si>
    <t xml:space="preserve">Egypt </t>
  </si>
  <si>
    <t xml:space="preserve">Greece </t>
  </si>
  <si>
    <t xml:space="preserve">Korea, Republic of </t>
  </si>
  <si>
    <t xml:space="preserve">Taiwan </t>
  </si>
  <si>
    <t xml:space="preserve">Mexico </t>
  </si>
  <si>
    <t xml:space="preserve">Spain </t>
  </si>
  <si>
    <t>Croatia</t>
  </si>
  <si>
    <t>Denmark</t>
  </si>
  <si>
    <t>Egypt</t>
  </si>
  <si>
    <t>France</t>
  </si>
  <si>
    <t>Greece</t>
  </si>
  <si>
    <t>Netherlands</t>
  </si>
  <si>
    <t>Spain</t>
  </si>
  <si>
    <t>Turkey</t>
  </si>
  <si>
    <t>TABLE 18</t>
  </si>
  <si>
    <t>Anchorage, AK:</t>
  </si>
  <si>
    <t>Baltimore, MD:</t>
  </si>
  <si>
    <t>Buffalo, NY:</t>
  </si>
  <si>
    <t>Charleston, SC:</t>
  </si>
  <si>
    <t>Cleveland, OH:</t>
  </si>
  <si>
    <t>Columbia-Snake, OR, WA:</t>
  </si>
  <si>
    <t>Detroit, MI:</t>
  </si>
  <si>
    <t>El Paso, TX:</t>
  </si>
  <si>
    <t>Houston-Galveston, TX:</t>
  </si>
  <si>
    <t>Laredo, TX:</t>
  </si>
  <si>
    <t>Los Angeles, CA:</t>
  </si>
  <si>
    <t>Miami, FL:</t>
  </si>
  <si>
    <t>New Orleans, LA:</t>
  </si>
  <si>
    <t>New York City, NY:</t>
  </si>
  <si>
    <t>Norfolk, VA:</t>
  </si>
  <si>
    <t>Ogdensburg, NY:</t>
  </si>
  <si>
    <t>Philadelphia, PA:</t>
  </si>
  <si>
    <t>San Francisco, CA:</t>
  </si>
  <si>
    <t>Savannah, GA:</t>
  </si>
  <si>
    <t>Seattle, WA:</t>
  </si>
  <si>
    <t>Tampa, FL:</t>
  </si>
  <si>
    <t>San Juan, PR:</t>
  </si>
  <si>
    <t>TABLE 19</t>
  </si>
  <si>
    <t xml:space="preserve">Canada </t>
  </si>
  <si>
    <t>TABLE 20</t>
  </si>
  <si>
    <r>
      <t>C.i.f.</t>
    </r>
    <r>
      <rPr>
        <vertAlign val="superscript"/>
        <sz val="8"/>
        <rFont val="Times New Roman"/>
        <family val="1"/>
      </rPr>
      <t>3, 4</t>
    </r>
  </si>
  <si>
    <r>
      <t>5</t>
    </r>
    <r>
      <rPr>
        <sz val="8"/>
        <rFont val="Times New Roman"/>
        <family val="1"/>
      </rPr>
      <t>Less than ½ unit.</t>
    </r>
  </si>
  <si>
    <t>TABLE 21</t>
  </si>
  <si>
    <r>
      <t>U.S. IMPORTS FOR CONSUMPTION OF CLINKER, BY COUNTRY</t>
    </r>
    <r>
      <rPr>
        <vertAlign val="superscript"/>
        <sz val="8"/>
        <rFont val="Times New Roman"/>
        <family val="1"/>
      </rPr>
      <t>1</t>
    </r>
  </si>
  <si>
    <r>
      <t>4</t>
    </r>
    <r>
      <rPr>
        <sz val="8"/>
        <rFont val="Times New Roman"/>
        <family val="1"/>
      </rPr>
      <t>Data are underreported with respect to additional material coming in as “informal entries.”</t>
    </r>
  </si>
  <si>
    <t>Boston, MA:</t>
  </si>
  <si>
    <t>Mobile, AL:</t>
  </si>
  <si>
    <t>Providence, RI:</t>
  </si>
  <si>
    <r>
      <t>Value</t>
    </r>
    <r>
      <rPr>
        <vertAlign val="superscript"/>
        <sz val="8"/>
        <color theme="1"/>
        <rFont val="Times New Roman"/>
        <family val="1"/>
      </rPr>
      <t>2</t>
    </r>
  </si>
  <si>
    <r>
      <t>8</t>
    </r>
    <r>
      <rPr>
        <sz val="8"/>
        <rFont val="Times New Roman"/>
        <family val="1"/>
      </rPr>
      <t>Includes one semiwet plant and one semidry plant.</t>
    </r>
  </si>
  <si>
    <t>Indiana, Ohio</t>
  </si>
  <si>
    <r>
      <rPr>
        <vertAlign val="superscript"/>
        <sz val="8"/>
        <color theme="1"/>
        <rFont val="Times New Roman"/>
        <family val="1"/>
      </rPr>
      <t>10</t>
    </r>
    <r>
      <rPr>
        <sz val="8"/>
        <color theme="1"/>
        <rFont val="Times New Roman"/>
        <family val="2"/>
      </rPr>
      <t>May not add to totals shown because of independent rounding.</t>
    </r>
  </si>
  <si>
    <r>
      <t>PORTLAND AND BLENDED CEMENT PRODUCTION, CAPACITY, AND STOCKS IN THE UNITED STATES, BY DISTRICT</t>
    </r>
    <r>
      <rPr>
        <vertAlign val="superscript"/>
        <sz val="8"/>
        <color theme="1"/>
        <rFont val="Times New Roman"/>
        <family val="1"/>
      </rPr>
      <t>1</t>
    </r>
  </si>
  <si>
    <r>
      <t>maintenance</t>
    </r>
    <r>
      <rPr>
        <vertAlign val="superscript"/>
        <sz val="8"/>
        <color theme="1"/>
        <rFont val="Times New Roman"/>
        <family val="1"/>
      </rPr>
      <t>6</t>
    </r>
  </si>
  <si>
    <r>
      <rPr>
        <vertAlign val="superscript"/>
        <sz val="8"/>
        <color theme="1"/>
        <rFont val="Times New Roman"/>
        <family val="1"/>
      </rPr>
      <t>5</t>
    </r>
    <r>
      <rPr>
        <sz val="8"/>
        <color theme="1"/>
        <rFont val="Times New Roman"/>
        <family val="2"/>
      </rPr>
      <t>Sum of reported kiln capacities for all plants in a district.</t>
    </r>
  </si>
  <si>
    <r>
      <rPr>
        <vertAlign val="superscript"/>
        <sz val="8"/>
        <color theme="1"/>
        <rFont val="Times New Roman"/>
        <family val="1"/>
      </rPr>
      <t>6</t>
    </r>
    <r>
      <rPr>
        <sz val="8"/>
        <color theme="1"/>
        <rFont val="Times New Roman"/>
        <family val="2"/>
      </rPr>
      <t>Total days of routine maintenance (summed for all kilns) divided by the number of kilns.</t>
    </r>
  </si>
  <si>
    <r>
      <rPr>
        <vertAlign val="superscript"/>
        <sz val="8"/>
        <color theme="1"/>
        <rFont val="Times New Roman"/>
        <family val="1"/>
      </rPr>
      <t>8</t>
    </r>
    <r>
      <rPr>
        <sz val="8"/>
        <color theme="1"/>
        <rFont val="Times New Roman"/>
        <family val="2"/>
      </rPr>
      <t>Contains estimates for some facilities and have been rounded to no more than three significant digits.</t>
    </r>
  </si>
  <si>
    <r>
      <rPr>
        <vertAlign val="superscript"/>
        <sz val="8"/>
        <color theme="1"/>
        <rFont val="Times New Roman"/>
        <family val="1"/>
      </rPr>
      <t>9</t>
    </r>
    <r>
      <rPr>
        <sz val="8"/>
        <color theme="1"/>
        <rFont val="Times New Roman"/>
        <family val="2"/>
      </rPr>
      <t>Includes one semiwet kiln in Indiana and one semidry kiln in northern Texas.</t>
    </r>
  </si>
  <si>
    <r>
      <t>Number of active plants</t>
    </r>
    <r>
      <rPr>
        <vertAlign val="superscript"/>
        <sz val="8"/>
        <color theme="1"/>
        <rFont val="Times New Roman"/>
        <family val="1"/>
      </rPr>
      <t>2</t>
    </r>
  </si>
  <si>
    <r>
      <t>Lime</t>
    </r>
    <r>
      <rPr>
        <vertAlign val="superscript"/>
        <sz val="8"/>
        <rFont val="Times New Roman"/>
        <family val="1"/>
      </rPr>
      <t>4</t>
    </r>
  </si>
  <si>
    <r>
      <t>Dry</t>
    </r>
    <r>
      <rPr>
        <vertAlign val="superscript"/>
        <sz val="8"/>
        <rFont val="Times New Roman"/>
        <family val="1"/>
      </rPr>
      <t>8</t>
    </r>
  </si>
  <si>
    <r>
      <t>Both</t>
    </r>
    <r>
      <rPr>
        <vertAlign val="superscript"/>
        <sz val="8"/>
        <rFont val="Times New Roman"/>
        <family val="1"/>
      </rPr>
      <t>9</t>
    </r>
  </si>
  <si>
    <r>
      <t>Total</t>
    </r>
    <r>
      <rPr>
        <vertAlign val="superscript"/>
        <sz val="8"/>
        <rFont val="Times New Roman"/>
        <family val="1"/>
      </rPr>
      <t>10</t>
    </r>
  </si>
  <si>
    <t>Arizona, New Mexico</t>
  </si>
  <si>
    <t>Colorado, Montana, Nevada, Utah, Wyoming</t>
  </si>
  <si>
    <r>
      <t>7</t>
    </r>
    <r>
      <rPr>
        <sz val="8"/>
        <rFont val="Times New Roman"/>
        <family val="1"/>
      </rPr>
      <t>White or colored portland-type cements. Most are Types I or II but may include Types III and V and block cements.</t>
    </r>
  </si>
  <si>
    <t>Aruba</t>
  </si>
  <si>
    <t xml:space="preserve">Chicago, IL: </t>
  </si>
  <si>
    <r>
      <rPr>
        <vertAlign val="superscript"/>
        <sz val="8"/>
        <rFont val="Times New Roman"/>
        <family val="1"/>
      </rPr>
      <t>8</t>
    </r>
    <r>
      <rPr>
        <sz val="8"/>
        <rFont val="Times New Roman"/>
        <family val="1"/>
      </rPr>
      <t>May not add to totals shown because of independent rounding.</t>
    </r>
  </si>
  <si>
    <r>
      <rPr>
        <vertAlign val="superscript"/>
        <sz val="8"/>
        <color theme="1"/>
        <rFont val="Times New Roman"/>
        <family val="1"/>
      </rPr>
      <t>4</t>
    </r>
    <r>
      <rPr>
        <sz val="8"/>
        <color theme="1"/>
        <rFont val="Times New Roman"/>
        <family val="1"/>
      </rPr>
      <t>Data may not add to totals shown because of independent rounding.</t>
    </r>
  </si>
  <si>
    <t>British Virgin Islands</t>
  </si>
  <si>
    <r>
      <t>U.S. IMPORTS FOR CONSUMPTION OF HYDRAULIC CEMENT AND CLINKER, BY CUSTOMS DISTRICT AND COUNTRY OR LOCALITY</t>
    </r>
    <r>
      <rPr>
        <vertAlign val="superscript"/>
        <sz val="8"/>
        <rFont val="Times New Roman"/>
        <family val="1"/>
      </rPr>
      <t>1</t>
    </r>
  </si>
  <si>
    <t>Customs district and country or locality</t>
  </si>
  <si>
    <r>
      <t>Total</t>
    </r>
    <r>
      <rPr>
        <vertAlign val="superscript"/>
        <sz val="8"/>
        <color theme="1"/>
        <rFont val="Times New Roman"/>
        <family val="1"/>
      </rPr>
      <t>4</t>
    </r>
  </si>
  <si>
    <r>
      <rPr>
        <vertAlign val="superscript"/>
        <sz val="8"/>
        <rFont val="Times New Roman"/>
        <family val="1"/>
      </rPr>
      <t>r</t>
    </r>
    <r>
      <rPr>
        <sz val="8"/>
        <rFont val="Times New Roman"/>
        <family val="1"/>
      </rPr>
      <t>Revised.  -- Zero.</t>
    </r>
  </si>
  <si>
    <r>
      <t>2</t>
    </r>
    <r>
      <rPr>
        <sz val="8"/>
        <rFont val="Times New Roman"/>
        <family val="1"/>
      </rPr>
      <t>Customs value. The price actually paid or payable for merchandise when sold for exportation to the United States, excluding U.S. import duties, freight,</t>
    </r>
    <r>
      <rPr>
        <vertAlign val="superscript"/>
        <sz val="8"/>
        <rFont val="Times New Roman"/>
        <family val="1"/>
      </rPr>
      <t xml:space="preserve"> </t>
    </r>
    <r>
      <rPr>
        <sz val="8"/>
        <rFont val="Times New Roman"/>
        <family val="1"/>
      </rPr>
      <t xml:space="preserve">insurance, and other charges incurred in bringing the merchandise to the United States. </t>
    </r>
  </si>
  <si>
    <r>
      <rPr>
        <vertAlign val="superscript"/>
        <sz val="8"/>
        <rFont val="Times New Roman"/>
        <family val="1"/>
      </rPr>
      <t>4</t>
    </r>
    <r>
      <rPr>
        <sz val="8"/>
        <rFont val="Times New Roman"/>
        <family val="1"/>
      </rPr>
      <t>Data may not add to totals shown because of independent rounding.</t>
    </r>
  </si>
  <si>
    <t>Wilmington, NC:</t>
  </si>
  <si>
    <r>
      <t>U.S. IMPORTS FOR CONSUMPTION OF GRAY PORTLAND CEMENT, BY COUNTRY OR LOCALITY</t>
    </r>
    <r>
      <rPr>
        <vertAlign val="superscript"/>
        <sz val="8"/>
        <rFont val="Times New Roman"/>
        <family val="1"/>
      </rPr>
      <t>1</t>
    </r>
    <r>
      <rPr>
        <sz val="8"/>
        <rFont val="Times New Roman"/>
        <family val="1"/>
      </rPr>
      <t xml:space="preserve"> </t>
    </r>
  </si>
  <si>
    <t>Country or locality</t>
  </si>
  <si>
    <r>
      <t>2</t>
    </r>
    <r>
      <rPr>
        <sz val="8"/>
        <rFont val="Times New Roman"/>
        <family val="1"/>
      </rPr>
      <t>The price actually paid or payable for merchandise when sold for exportation to the United States, excluding U.S. import duties, freight, insurance, and other charges incurred in bringing the merchandise to the United States.</t>
    </r>
  </si>
  <si>
    <r>
      <t>U.S. IMPORTS FOR CONSUMPTION OF WHITE CEMENT, BY COUNTRY OR LOCALITY</t>
    </r>
    <r>
      <rPr>
        <vertAlign val="superscript"/>
        <sz val="8"/>
        <rFont val="Times New Roman"/>
        <family val="1"/>
      </rPr>
      <t>1</t>
    </r>
    <r>
      <rPr>
        <sz val="8"/>
        <rFont val="Times New Roman"/>
        <family val="1"/>
      </rPr>
      <t xml:space="preserve"> </t>
    </r>
  </si>
  <si>
    <r>
      <t>2</t>
    </r>
    <r>
      <rPr>
        <sz val="8"/>
        <rFont val="Times New Roman"/>
        <family val="1"/>
      </rPr>
      <t>Customs value. The price actually paid or payable for merchandise when sold for exportation to the United States, excluding U.S. import duties, freight, insurance, and other charges incurred in bringing the merchandise to the United States.</t>
    </r>
  </si>
  <si>
    <t xml:space="preserve">Puerto Rico: </t>
  </si>
  <si>
    <r>
      <t>MASONRY CEMENT PRODUCTION AND STOCKS IN THE UNITED STATES, BY DISTRICT</t>
    </r>
    <r>
      <rPr>
        <vertAlign val="superscript"/>
        <sz val="8"/>
        <color theme="1"/>
        <rFont val="Times New Roman"/>
        <family val="1"/>
      </rPr>
      <t>1</t>
    </r>
  </si>
  <si>
    <r>
      <t>Other</t>
    </r>
    <r>
      <rPr>
        <vertAlign val="superscript"/>
        <sz val="8"/>
        <rFont val="Times New Roman"/>
        <family val="1"/>
      </rPr>
      <t>5</t>
    </r>
  </si>
  <si>
    <r>
      <t>6</t>
    </r>
    <r>
      <rPr>
        <sz val="8"/>
        <rFont val="Times New Roman"/>
        <family val="1"/>
      </rPr>
      <t>Includes iron sludges, pyrite, and other ferrous materials.</t>
    </r>
  </si>
  <si>
    <r>
      <t>5</t>
    </r>
    <r>
      <rPr>
        <sz val="8"/>
        <rFont val="Times New Roman"/>
        <family val="1"/>
      </rPr>
      <t>Includes alumina, aluminum dross, bauxite, spent catalysts, and other aluminous materials.</t>
    </r>
  </si>
  <si>
    <r>
      <t>7</t>
    </r>
    <r>
      <rPr>
        <sz val="8"/>
        <rFont val="Times New Roman"/>
        <family val="1"/>
      </rPr>
      <t>Imported cement sold to final customers in the United States as reported by domestic producers and other importers. Data do not match the imports in tables 17–20.</t>
    </r>
  </si>
  <si>
    <r>
      <t>3</t>
    </r>
    <r>
      <rPr>
        <sz val="8"/>
        <rFont val="Times New Roman"/>
        <family val="1"/>
      </rPr>
      <t xml:space="preserve">Tonnages are those by reporting entities in the district but may include shipments into other districts. They differ from the data in table 9, which are the actual reported sales into the specific States. </t>
    </r>
  </si>
  <si>
    <r>
      <t>4</t>
    </r>
    <r>
      <rPr>
        <sz val="8"/>
        <rFont val="Times New Roman"/>
        <family val="1"/>
      </rPr>
      <t>Tonnages are those by reporting entities in the district but may include shipments into other districts. They differ from the data in table 9, which are the actual reported sales into the specific States.</t>
    </r>
  </si>
  <si>
    <r>
      <t>2</t>
    </r>
    <r>
      <rPr>
        <sz val="8"/>
        <rFont val="Times New Roman"/>
        <family val="1"/>
      </rPr>
      <t>The location of the reporting entity, not the location of sales (see table 9 for sales data, by State). Specific districts include shipments by importers where district assignations were possible.</t>
    </r>
  </si>
  <si>
    <r>
      <t>2</t>
    </r>
    <r>
      <rPr>
        <sz val="8"/>
        <rFont val="Times New Roman"/>
        <family val="1"/>
      </rPr>
      <t>Includes imported cement and cement made from imported clinker. Excludes Puerto Rico.</t>
    </r>
  </si>
  <si>
    <t>W Withheld to avoid disclosing company proprietary data.  -- Zero.</t>
  </si>
  <si>
    <r>
      <t>U.S. EXPORTS OF HYDRAULIC CEMENT AND CLINKER, BY COUNTRY OR LOCALITY</t>
    </r>
    <r>
      <rPr>
        <vertAlign val="superscript"/>
        <sz val="8"/>
        <color theme="1"/>
        <rFont val="Times New Roman"/>
        <family val="1"/>
      </rPr>
      <t>1</t>
    </r>
    <r>
      <rPr>
        <sz val="8"/>
        <color theme="1"/>
        <rFont val="Times New Roman"/>
        <family val="1"/>
      </rPr>
      <t xml:space="preserve"> </t>
    </r>
  </si>
  <si>
    <r>
      <rPr>
        <vertAlign val="superscript"/>
        <sz val="8"/>
        <color theme="1"/>
        <rFont val="Times New Roman"/>
        <family val="1"/>
      </rPr>
      <t>3</t>
    </r>
    <r>
      <rPr>
        <sz val="8"/>
        <color theme="1"/>
        <rFont val="Times New Roman"/>
        <family val="1"/>
      </rPr>
      <t>Less than ½ unit.</t>
    </r>
  </si>
  <si>
    <r>
      <t>U.S. IMPORTS FOR CONSUMPTION OF HYDRAULIC CEMENT AND CLINKER, BY COUNTRY OR LOCALITY</t>
    </r>
    <r>
      <rPr>
        <vertAlign val="superscript"/>
        <sz val="8"/>
        <rFont val="Times New Roman"/>
        <family val="1"/>
      </rPr>
      <t>1</t>
    </r>
  </si>
  <si>
    <r>
      <t>Value</t>
    </r>
    <r>
      <rPr>
        <vertAlign val="superscript"/>
        <sz val="8"/>
        <rFont val="Times New Roman"/>
        <family val="1"/>
      </rPr>
      <t>5</t>
    </r>
  </si>
  <si>
    <t>7</t>
  </si>
  <si>
    <r>
      <t>CLINKER PRODUCED AND FUEL CONSUMED BY THE U.S. CEMENT INDUSTRY, BY KILN PROCESS</t>
    </r>
    <r>
      <rPr>
        <vertAlign val="superscript"/>
        <sz val="8"/>
        <rFont val="Times New Roman"/>
        <family val="1"/>
      </rPr>
      <t>1, 2</t>
    </r>
  </si>
  <si>
    <r>
      <rPr>
        <vertAlign val="superscript"/>
        <sz val="8"/>
        <color theme="1"/>
        <rFont val="Times New Roman"/>
        <family val="1"/>
      </rPr>
      <t>2</t>
    </r>
    <r>
      <rPr>
        <sz val="8"/>
        <color theme="1"/>
        <rFont val="Times New Roman"/>
        <family val="2"/>
      </rPr>
      <t>Includes all plants (gray or white) that produced clinker for at least 1 day during the year, as well as idle facilities able to be restarted, fully permitted, in less than 6 months.</t>
    </r>
  </si>
  <si>
    <r>
      <t>4</t>
    </r>
    <r>
      <rPr>
        <sz val="8"/>
        <rFont val="Times New Roman"/>
        <family val="1"/>
      </rPr>
      <t>Data are thought to be underreported.</t>
    </r>
  </si>
  <si>
    <r>
      <t>9</t>
    </r>
    <r>
      <rPr>
        <sz val="8"/>
        <rFont val="Times New Roman"/>
        <family val="1"/>
      </rPr>
      <t>Plants that can operate wet and dry kilns, whether or not both types were active during the year. Includes plants that converted from wet to dry technology during the year.</t>
    </r>
  </si>
  <si>
    <r>
      <t>2</t>
    </r>
    <r>
      <rPr>
        <sz val="8"/>
        <rFont val="Times New Roman"/>
        <family val="1"/>
      </rPr>
      <t>Data are developed from consolidated monthly surveys of shipments by companies and may differ from data in tables 1, 10–12, and 14–15, which are from annual surveys of individual plants and importers.</t>
    </r>
  </si>
  <si>
    <r>
      <t>Value</t>
    </r>
    <r>
      <rPr>
        <vertAlign val="superscript"/>
        <sz val="8"/>
        <rFont val="Times New Roman"/>
        <family val="1"/>
      </rPr>
      <t>4</t>
    </r>
  </si>
  <si>
    <r>
      <t>2</t>
    </r>
    <r>
      <rPr>
        <sz val="8"/>
        <rFont val="Times New Roman"/>
        <family val="1"/>
      </rPr>
      <t>The location of the reporting entities, not necessarily the location of sales (see table 9 for sales data, by State). Specific districts include shipments by importers where district assignations were possible.</t>
    </r>
  </si>
  <si>
    <r>
      <t>District</t>
    </r>
    <r>
      <rPr>
        <vertAlign val="superscript"/>
        <sz val="8"/>
        <rFont val="Times New Roman"/>
        <family val="1"/>
      </rPr>
      <t>3</t>
    </r>
  </si>
  <si>
    <r>
      <t>3</t>
    </r>
    <r>
      <rPr>
        <sz val="8"/>
        <rFont val="Times New Roman"/>
        <family val="1"/>
      </rPr>
      <t xml:space="preserve">District is the location of the reporting entities, not necessarily the location of sales (see table 9 for sales data, by State). Specific districts include shipments by importers where district assignations were possible. </t>
    </r>
  </si>
  <si>
    <r>
      <t>Grand total</t>
    </r>
    <r>
      <rPr>
        <vertAlign val="superscript"/>
        <sz val="8"/>
        <rFont val="Times New Roman"/>
        <family val="1"/>
      </rPr>
      <t>4</t>
    </r>
  </si>
  <si>
    <t>Montana, Nevada, Oregon, Utah, Washington</t>
  </si>
  <si>
    <t>(10)</t>
  </si>
  <si>
    <r>
      <rPr>
        <sz val="8"/>
        <rFont val="Times New Roman"/>
        <family val="1"/>
      </rPr>
      <t>Miscellaneous</t>
    </r>
    <r>
      <rPr>
        <vertAlign val="superscript"/>
        <sz val="8"/>
        <rFont val="Times New Roman"/>
        <family val="1"/>
      </rPr>
      <t>11</t>
    </r>
  </si>
  <si>
    <r>
      <t>Total</t>
    </r>
    <r>
      <rPr>
        <vertAlign val="superscript"/>
        <sz val="8"/>
        <rFont val="Times New Roman"/>
        <family val="1"/>
      </rPr>
      <t>12</t>
    </r>
  </si>
  <si>
    <r>
      <t>Grand total</t>
    </r>
    <r>
      <rPr>
        <vertAlign val="superscript"/>
        <sz val="8"/>
        <rFont val="Times New Roman"/>
        <family val="1"/>
      </rPr>
      <t>12</t>
    </r>
  </si>
  <si>
    <r>
      <t>Clinker, imported, raw materials equivalent</t>
    </r>
    <r>
      <rPr>
        <vertAlign val="superscript"/>
        <sz val="8"/>
        <rFont val="Times New Roman"/>
        <family val="1"/>
      </rPr>
      <t>13</t>
    </r>
  </si>
  <si>
    <r>
      <t>Granulated blast furnace slag</t>
    </r>
    <r>
      <rPr>
        <vertAlign val="superscript"/>
        <sz val="8"/>
        <rFont val="Times New Roman"/>
        <family val="1"/>
      </rPr>
      <t>7</t>
    </r>
  </si>
  <si>
    <r>
      <t>Natural rock pozzolans</t>
    </r>
    <r>
      <rPr>
        <vertAlign val="superscript"/>
        <sz val="8"/>
        <rFont val="Times New Roman"/>
        <family val="1"/>
      </rPr>
      <t>8</t>
    </r>
  </si>
  <si>
    <r>
      <t>Other pozzolans</t>
    </r>
    <r>
      <rPr>
        <vertAlign val="superscript"/>
        <sz val="8"/>
        <rFont val="Times New Roman"/>
        <family val="1"/>
      </rPr>
      <t>9</t>
    </r>
  </si>
  <si>
    <r>
      <t>7</t>
    </r>
    <r>
      <rPr>
        <sz val="8"/>
        <rFont val="Times New Roman"/>
        <family val="1"/>
      </rPr>
      <t>Includes ground and unground material.</t>
    </r>
  </si>
  <si>
    <r>
      <t>8</t>
    </r>
    <r>
      <rPr>
        <sz val="8"/>
        <rFont val="Times New Roman"/>
        <family val="1"/>
      </rPr>
      <t>Includes pozzolana and burned clays or shales (except where directly reported as clay or shale).</t>
    </r>
  </si>
  <si>
    <r>
      <t>9</t>
    </r>
    <r>
      <rPr>
        <sz val="8"/>
        <rFont val="Times New Roman"/>
        <family val="1"/>
      </rPr>
      <t>Includes diatomite, silica fume, other microcrystalline silica, and other pozzolans, even if not used as such.</t>
    </r>
  </si>
  <si>
    <r>
      <t>10</t>
    </r>
    <r>
      <rPr>
        <sz val="8"/>
        <rFont val="Times New Roman"/>
        <family val="1"/>
      </rPr>
      <t>Included with “Calcareous: Other.”</t>
    </r>
  </si>
  <si>
    <r>
      <t>11</t>
    </r>
    <r>
      <rPr>
        <sz val="8"/>
        <rFont val="Times New Roman"/>
        <family val="1"/>
      </rPr>
      <t>Includes fluorspar and other materials not listed above.</t>
    </r>
  </si>
  <si>
    <r>
      <t>12</t>
    </r>
    <r>
      <rPr>
        <sz val="8"/>
        <rFont val="Times New Roman"/>
        <family val="1"/>
      </rPr>
      <t>May not add to totals shown because of independent rounding.</t>
    </r>
  </si>
  <si>
    <r>
      <t>13</t>
    </r>
    <r>
      <rPr>
        <sz val="8"/>
        <rFont val="Times New Roman"/>
        <family val="1"/>
      </rPr>
      <t>Converted as 1.7 times the weight of foreign clinker consumed.</t>
    </r>
  </si>
  <si>
    <t>5</t>
  </si>
  <si>
    <r>
      <rPr>
        <vertAlign val="superscript"/>
        <sz val="8"/>
        <rFont val="Times New Roman"/>
        <family val="1"/>
      </rPr>
      <t>6</t>
    </r>
    <r>
      <rPr>
        <sz val="8"/>
        <rFont val="Times New Roman"/>
        <family val="1"/>
      </rPr>
      <t>Data may not add to totals shown because of independent rounding.</t>
    </r>
  </si>
  <si>
    <r>
      <t>District</t>
    </r>
    <r>
      <rPr>
        <vertAlign val="superscript"/>
        <sz val="8"/>
        <color theme="1"/>
        <rFont val="Times New Roman"/>
        <family val="1"/>
      </rPr>
      <t>2</t>
    </r>
  </si>
  <si>
    <r>
      <t>Production</t>
    </r>
    <r>
      <rPr>
        <vertAlign val="superscript"/>
        <sz val="8"/>
        <color theme="1"/>
        <rFont val="Times New Roman"/>
        <family val="1"/>
      </rPr>
      <t>3</t>
    </r>
  </si>
  <si>
    <r>
      <t>capacity</t>
    </r>
    <r>
      <rPr>
        <vertAlign val="superscript"/>
        <sz val="8"/>
        <color theme="1"/>
        <rFont val="Times New Roman"/>
        <family val="1"/>
      </rPr>
      <t>4</t>
    </r>
  </si>
  <si>
    <r>
      <t>utilized</t>
    </r>
    <r>
      <rPr>
        <vertAlign val="superscript"/>
        <sz val="8"/>
        <color theme="1"/>
        <rFont val="Times New Roman"/>
        <family val="1"/>
      </rPr>
      <t>5</t>
    </r>
  </si>
  <si>
    <r>
      <t>stocks</t>
    </r>
    <r>
      <rPr>
        <vertAlign val="superscript"/>
        <sz val="8"/>
        <color theme="1"/>
        <rFont val="Times New Roman"/>
        <family val="1"/>
      </rPr>
      <t>6</t>
    </r>
  </si>
  <si>
    <r>
      <rPr>
        <vertAlign val="superscript"/>
        <sz val="8"/>
        <color theme="1"/>
        <rFont val="Times New Roman"/>
        <family val="1"/>
      </rPr>
      <t>2</t>
    </r>
    <r>
      <rPr>
        <sz val="8"/>
        <color theme="1"/>
        <rFont val="Times New Roman"/>
        <family val="2"/>
      </rPr>
      <t>District assignation is the location of the reporting facilities. Specific districts include importers where district assignations were possible.</t>
    </r>
  </si>
  <si>
    <r>
      <rPr>
        <vertAlign val="superscript"/>
        <sz val="8"/>
        <color theme="1"/>
        <rFont val="Times New Roman"/>
        <family val="1"/>
      </rPr>
      <t>3</t>
    </r>
    <r>
      <rPr>
        <sz val="8"/>
        <color theme="1"/>
        <rFont val="Times New Roman"/>
        <family val="2"/>
      </rPr>
      <t xml:space="preserve">Data include a small amount of portland cement subsequently consumed at the plant to make masonry cement; the amount thus double-counted cannot be determined precisely because </t>
    </r>
    <r>
      <rPr>
        <sz val="8"/>
        <color theme="1"/>
        <rFont val="Times New Roman"/>
        <family val="1"/>
      </rPr>
      <t>of the involvement of cement stockpiles, but is less than 0.5% of the grand totals listed.</t>
    </r>
  </si>
  <si>
    <r>
      <rPr>
        <vertAlign val="superscript"/>
        <sz val="8"/>
        <color theme="1"/>
        <rFont val="Times New Roman"/>
        <family val="1"/>
      </rPr>
      <t>4</t>
    </r>
    <r>
      <rPr>
        <sz val="8"/>
        <color theme="1"/>
        <rFont val="Times New Roman"/>
        <family val="2"/>
      </rPr>
      <t>Based on fineness needed to produce a plant’s normal output mix, including masonry cement, and allowing for downtime for routine maintenance.</t>
    </r>
  </si>
  <si>
    <r>
      <rPr>
        <vertAlign val="superscript"/>
        <sz val="8"/>
        <color theme="1"/>
        <rFont val="Times New Roman"/>
        <family val="1"/>
      </rPr>
      <t>5</t>
    </r>
    <r>
      <rPr>
        <sz val="8"/>
        <color theme="1"/>
        <rFont val="Times New Roman"/>
        <family val="2"/>
      </rPr>
      <t>Calculated relative to portland cement output; utilization would be higher if calculated to include output of masonry cement.</t>
    </r>
  </si>
  <si>
    <r>
      <rPr>
        <vertAlign val="superscript"/>
        <sz val="8"/>
        <color theme="1"/>
        <rFont val="Times New Roman"/>
        <family val="1"/>
      </rPr>
      <t>7</t>
    </r>
    <r>
      <rPr>
        <sz val="8"/>
        <color theme="1"/>
        <rFont val="Times New Roman"/>
        <family val="2"/>
      </rPr>
      <t>Includes estimates for nonrespondents or facilities that provided incomplete information; data have been rounded to three significant digits.</t>
    </r>
  </si>
  <si>
    <r>
      <rPr>
        <vertAlign val="superscript"/>
        <sz val="8"/>
        <color theme="1"/>
        <rFont val="Times New Roman"/>
        <family val="1"/>
      </rPr>
      <t>3</t>
    </r>
    <r>
      <rPr>
        <sz val="8"/>
        <color theme="1"/>
        <rFont val="Times New Roman"/>
        <family val="2"/>
      </rPr>
      <t>Includes cement produced from imported clinker.</t>
    </r>
  </si>
  <si>
    <r>
      <rPr>
        <vertAlign val="superscript"/>
        <sz val="8"/>
        <color theme="1"/>
        <rFont val="Times New Roman"/>
        <family val="1"/>
      </rPr>
      <t>4</t>
    </r>
    <r>
      <rPr>
        <sz val="8"/>
        <color theme="1"/>
        <rFont val="Times New Roman"/>
        <family val="2"/>
      </rPr>
      <t>Includes imported cement and stocks of domestic and imported cement at mills, and terminals assigned to plants (some of which may be outside the district indicated), and in transit.</t>
    </r>
  </si>
  <si>
    <r>
      <rPr>
        <vertAlign val="superscript"/>
        <sz val="8"/>
        <color theme="1"/>
        <rFont val="Times New Roman"/>
        <family val="1"/>
      </rPr>
      <t>5</t>
    </r>
    <r>
      <rPr>
        <sz val="8"/>
        <color theme="1"/>
        <rFont val="Times New Roman"/>
        <family val="2"/>
      </rPr>
      <t>Includes estimates for nonrespondents or facilities that provided incomplete information.</t>
    </r>
  </si>
  <si>
    <r>
      <rPr>
        <vertAlign val="superscript"/>
        <sz val="8"/>
        <color theme="1"/>
        <rFont val="Times New Roman"/>
        <family val="1"/>
      </rPr>
      <t>6</t>
    </r>
    <r>
      <rPr>
        <sz val="8"/>
        <color theme="1"/>
        <rFont val="Times New Roman"/>
        <family val="2"/>
      </rPr>
      <t>Includes only those importers or terminals for which district assignations were not possible.</t>
    </r>
  </si>
  <si>
    <r>
      <t>stocks</t>
    </r>
    <r>
      <rPr>
        <vertAlign val="superscript"/>
        <sz val="8"/>
        <color theme="1"/>
        <rFont val="Times New Roman"/>
        <family val="1"/>
      </rPr>
      <t>4</t>
    </r>
  </si>
  <si>
    <r>
      <t>Importers</t>
    </r>
    <r>
      <rPr>
        <vertAlign val="superscript"/>
        <sz val="8"/>
        <color theme="1"/>
        <rFont val="Times New Roman"/>
        <family val="1"/>
      </rPr>
      <t>6</t>
    </r>
  </si>
  <si>
    <r>
      <t>SALIENT CEMENT STATISTICS</t>
    </r>
    <r>
      <rPr>
        <vertAlign val="superscript"/>
        <sz val="8"/>
        <rFont val="Times New Roman"/>
        <family val="1"/>
      </rPr>
      <t xml:space="preserve">1, 2 </t>
    </r>
  </si>
  <si>
    <r>
      <t>Both</t>
    </r>
    <r>
      <rPr>
        <vertAlign val="superscript"/>
        <sz val="8"/>
        <color theme="1"/>
        <rFont val="Times New Roman"/>
        <family val="1"/>
      </rPr>
      <t>4</t>
    </r>
  </si>
  <si>
    <r>
      <t>of kilns</t>
    </r>
    <r>
      <rPr>
        <vertAlign val="superscript"/>
        <sz val="8"/>
        <color theme="1"/>
        <rFont val="Times New Roman"/>
        <family val="1"/>
      </rPr>
      <t>3</t>
    </r>
  </si>
  <si>
    <r>
      <t>capacity</t>
    </r>
    <r>
      <rPr>
        <vertAlign val="superscript"/>
        <sz val="8"/>
        <color theme="1"/>
        <rFont val="Times New Roman"/>
        <family val="1"/>
      </rPr>
      <t>3, 7</t>
    </r>
  </si>
  <si>
    <r>
      <t>produced</t>
    </r>
    <r>
      <rPr>
        <vertAlign val="superscript"/>
        <sz val="8"/>
        <rFont val="Times New Roman"/>
        <family val="1"/>
      </rPr>
      <t>3</t>
    </r>
  </si>
  <si>
    <r>
      <t>Total or average</t>
    </r>
    <r>
      <rPr>
        <vertAlign val="superscript"/>
        <sz val="8"/>
        <rFont val="Times New Roman"/>
        <family val="1"/>
      </rPr>
      <t>4</t>
    </r>
  </si>
  <si>
    <r>
      <rPr>
        <vertAlign val="superscript"/>
        <sz val="8"/>
        <rFont val="Times New Roman"/>
        <family val="1"/>
      </rPr>
      <t>3</t>
    </r>
    <r>
      <rPr>
        <sz val="8"/>
        <rFont val="Times New Roman"/>
        <family val="1"/>
      </rPr>
      <t>Portland and masonry cement.</t>
    </r>
  </si>
  <si>
    <r>
      <rPr>
        <vertAlign val="superscript"/>
        <sz val="8"/>
        <rFont val="Times New Roman"/>
        <family val="1"/>
      </rPr>
      <t>4</t>
    </r>
    <r>
      <rPr>
        <sz val="8"/>
        <rFont val="Times New Roman"/>
        <family val="1"/>
      </rPr>
      <t>May not add to totals shown because of independent rounding.</t>
    </r>
  </si>
  <si>
    <r>
      <t>Foreign countries and (or) localities</t>
    </r>
    <r>
      <rPr>
        <vertAlign val="superscript"/>
        <sz val="8"/>
        <rFont val="Times New Roman"/>
        <family val="1"/>
      </rPr>
      <t>6</t>
    </r>
  </si>
  <si>
    <r>
      <rPr>
        <sz val="8"/>
        <rFont val="Times New Roman"/>
        <family val="1"/>
      </rPr>
      <t>Foreign countries and (or) localities</t>
    </r>
    <r>
      <rPr>
        <vertAlign val="superscript"/>
        <sz val="8"/>
        <rFont val="Times New Roman"/>
        <family val="1"/>
      </rPr>
      <t>7</t>
    </r>
  </si>
  <si>
    <r>
      <t>Total</t>
    </r>
    <r>
      <rPr>
        <vertAlign val="superscript"/>
        <sz val="8"/>
        <color theme="1"/>
        <rFont val="Times New Roman"/>
        <family val="1"/>
      </rPr>
      <t>4</t>
    </r>
    <r>
      <rPr>
        <sz val="8"/>
        <color theme="1"/>
        <rFont val="Times New Roman"/>
        <family val="1"/>
      </rPr>
      <t xml:space="preserve"> </t>
    </r>
  </si>
  <si>
    <r>
      <t>Grand total</t>
    </r>
    <r>
      <rPr>
        <vertAlign val="superscript"/>
        <sz val="8"/>
        <color theme="1"/>
        <rFont val="Times New Roman"/>
        <family val="1"/>
      </rPr>
      <t>4</t>
    </r>
    <r>
      <rPr>
        <sz val="8"/>
        <color theme="1"/>
        <rFont val="Times New Roman"/>
        <family val="1"/>
      </rPr>
      <t xml:space="preserve"> </t>
    </r>
  </si>
  <si>
    <r>
      <rPr>
        <vertAlign val="superscript"/>
        <sz val="8"/>
        <color theme="1"/>
        <rFont val="Times New Roman"/>
        <family val="1"/>
      </rPr>
      <t>2</t>
    </r>
    <r>
      <rPr>
        <sz val="8"/>
        <color theme="1"/>
        <rFont val="Times New Roman"/>
        <family val="1"/>
      </rPr>
      <t>Free alongside ship (f.a.s.) value. The value of exports at the U.S. seaport or border point of export is based on the transaction price, including inland freight, insurance, and other charges incurred in placing the merchandise alongside the carrier. The value excludes the cost of loading the carrier.</t>
    </r>
  </si>
  <si>
    <r>
      <rPr>
        <vertAlign val="superscript"/>
        <sz val="8"/>
        <color theme="1"/>
        <rFont val="Times New Roman"/>
        <family val="1"/>
      </rPr>
      <t>6</t>
    </r>
    <r>
      <rPr>
        <sz val="8"/>
        <color theme="1"/>
        <rFont val="Times New Roman"/>
        <family val="2"/>
      </rPr>
      <t xml:space="preserve">Includes imported cement; stocks of domestic and imported cement at mills; terminals assigned to plants (some of which may be outside the district indicated); and cement in transit. </t>
    </r>
  </si>
  <si>
    <t>2019</t>
  </si>
  <si>
    <t>Tunisia</t>
  </si>
  <si>
    <t>Vietnam</t>
  </si>
  <si>
    <t>Colombia</t>
  </si>
  <si>
    <t>St. Louis, MO:</t>
  </si>
  <si>
    <t>(3)</t>
  </si>
  <si>
    <r>
      <t>In bags</t>
    </r>
    <r>
      <rPr>
        <vertAlign val="superscript"/>
        <sz val="8"/>
        <rFont val="Times New Roman"/>
        <family val="1"/>
      </rPr>
      <t>3</t>
    </r>
  </si>
  <si>
    <r>
      <t>customers</t>
    </r>
    <r>
      <rPr>
        <vertAlign val="superscript"/>
        <sz val="8"/>
        <rFont val="Times New Roman"/>
        <family val="1"/>
      </rPr>
      <t>4</t>
    </r>
  </si>
  <si>
    <t>Other [5 countries and (or) localities]</t>
  </si>
  <si>
    <t>Other [3 countries and (or) localities]</t>
  </si>
  <si>
    <t>Other [2 countries and (or) localities]</t>
  </si>
  <si>
    <t>Other [7 countries and (or) localities]</t>
  </si>
  <si>
    <t>Other [6 countries and (or) localities]</t>
  </si>
  <si>
    <t>Duluth, MN, Canada</t>
  </si>
  <si>
    <t>Other [4 countries and (or) localities]</t>
  </si>
  <si>
    <t>San Diego, CA, Mexico</t>
  </si>
  <si>
    <t>St. Albans, VT, Canada</t>
  </si>
  <si>
    <t>kilowatt–hours)</t>
  </si>
  <si>
    <t>(kilowatt–hours</t>
  </si>
  <si>
    <r>
      <rPr>
        <vertAlign val="superscript"/>
        <sz val="8"/>
        <rFont val="Times New Roman"/>
        <family val="1"/>
      </rPr>
      <t>3</t>
    </r>
    <r>
      <rPr>
        <sz val="8"/>
        <rFont val="Times New Roman"/>
        <family val="1"/>
      </rPr>
      <t>Includes packages, bags, and supersacks.</t>
    </r>
  </si>
  <si>
    <r>
      <t>5</t>
    </r>
    <r>
      <rPr>
        <sz val="8"/>
        <rFont val="Times New Roman"/>
        <family val="1"/>
      </rPr>
      <t>Values are mill net or ex-plant valuations of total sales to final customers, including sales from plants' external distribution terminals. The data are ex-terminal for independently reporting terminals. Data include both bulk and bag shipments. Unless otherwise specified, data are presented unrounded. Unrounded or not, unit value data should be viewed as value indicators, accurate to no more than the nearest $0.50 or even $1.00 per metric ton.</t>
    </r>
  </si>
  <si>
    <t>2020</t>
  </si>
  <si>
    <t>Algeria</t>
  </si>
  <si>
    <t>Other [8 countries and (or) localities]</t>
  </si>
  <si>
    <t>Nogales, AZ, Mexico</t>
  </si>
  <si>
    <t>Portland, ME, Canada</t>
  </si>
  <si>
    <t>Dallas-Fort Worth, TX:</t>
  </si>
  <si>
    <t>Other [11 countries and (or) localities]</t>
  </si>
  <si>
    <r>
      <t>Total</t>
    </r>
    <r>
      <rPr>
        <vertAlign val="superscript"/>
        <sz val="8"/>
        <color indexed="8"/>
        <rFont val="Times New Roman"/>
        <family val="1"/>
      </rPr>
      <t>4</t>
    </r>
  </si>
  <si>
    <r>
      <t>Pennsylvania</t>
    </r>
    <r>
      <rPr>
        <vertAlign val="superscript"/>
        <sz val="8"/>
        <rFont val="Times New Roman"/>
        <family val="1"/>
      </rPr>
      <t>6</t>
    </r>
  </si>
  <si>
    <r>
      <t>Importers</t>
    </r>
    <r>
      <rPr>
        <vertAlign val="superscript"/>
        <sz val="8"/>
        <rFont val="Times New Roman"/>
        <family val="1"/>
      </rPr>
      <t>6, 7</t>
    </r>
  </si>
  <si>
    <r>
      <t>Total or average</t>
    </r>
    <r>
      <rPr>
        <vertAlign val="superscript"/>
        <sz val="8"/>
        <rFont val="Times New Roman"/>
        <family val="1"/>
      </rPr>
      <t>6, 8</t>
    </r>
  </si>
  <si>
    <r>
      <t>Pennsylvania</t>
    </r>
    <r>
      <rPr>
        <vertAlign val="superscript"/>
        <sz val="8"/>
        <color theme="1"/>
        <rFont val="Times New Roman"/>
        <family val="1"/>
      </rPr>
      <t>7</t>
    </r>
  </si>
  <si>
    <r>
      <t>Texas, northern</t>
    </r>
    <r>
      <rPr>
        <vertAlign val="superscript"/>
        <sz val="8"/>
        <color theme="1"/>
        <rFont val="Times New Roman"/>
        <family val="1"/>
      </rPr>
      <t>7</t>
    </r>
  </si>
  <si>
    <r>
      <t>Total</t>
    </r>
    <r>
      <rPr>
        <vertAlign val="superscript"/>
        <sz val="8"/>
        <color theme="1"/>
        <rFont val="Times New Roman"/>
        <family val="1"/>
      </rPr>
      <t>10</t>
    </r>
  </si>
  <si>
    <r>
      <t>Grand total</t>
    </r>
    <r>
      <rPr>
        <vertAlign val="superscript"/>
        <sz val="8"/>
        <color theme="1"/>
        <rFont val="Times New Roman"/>
        <family val="1"/>
      </rPr>
      <t>10</t>
    </r>
  </si>
  <si>
    <t>Cook, DuPage, Kane, Kendall, Lake, McHenry, and Will.</t>
  </si>
  <si>
    <t>Cyprus</t>
  </si>
  <si>
    <t>Indonesia</t>
  </si>
  <si>
    <t>Saudi Arabia</t>
  </si>
  <si>
    <r>
      <t>Sulfate resistant (Type V)</t>
    </r>
    <r>
      <rPr>
        <vertAlign val="superscript"/>
        <sz val="8"/>
        <rFont val="Times New Roman"/>
        <family val="1"/>
      </rPr>
      <t>5</t>
    </r>
  </si>
  <si>
    <t>Bahamas, The</t>
  </si>
  <si>
    <t>2021</t>
  </si>
  <si>
    <t>United Arab Emirates</t>
  </si>
  <si>
    <t>Other [10 countries and (or) localities]</t>
  </si>
  <si>
    <t>Other [9 countries and (or) localities]</t>
  </si>
  <si>
    <t>Virgin Islands, Colombia</t>
  </si>
  <si>
    <r>
      <t>4</t>
    </r>
    <r>
      <rPr>
        <sz val="8"/>
        <rFont val="Times New Roman"/>
        <family val="1"/>
      </rPr>
      <t>Includes imported cement.</t>
    </r>
  </si>
  <si>
    <r>
      <t>5</t>
    </r>
    <r>
      <rPr>
        <sz val="8"/>
        <rFont val="Times New Roman"/>
        <family val="1"/>
      </rPr>
      <t>Shipments to final domestic customers. Data are from an annual survey of plants and terminals and may differ from the totals in table 9, which are based on consolidated monthly surveys from companies.</t>
    </r>
  </si>
  <si>
    <r>
      <rPr>
        <vertAlign val="superscript"/>
        <sz val="8"/>
        <rFont val="Times New Roman"/>
        <family val="1"/>
      </rPr>
      <t>6</t>
    </r>
    <r>
      <rPr>
        <sz val="8"/>
        <rFont val="Times New Roman"/>
        <family val="1"/>
      </rPr>
      <t>Free on board mill or independently reporting terminal. Data are rounded to the nearest $0.50 per metric ton.</t>
    </r>
  </si>
  <si>
    <r>
      <t>7</t>
    </r>
    <r>
      <rPr>
        <sz val="8"/>
        <rFont val="Times New Roman"/>
        <family val="1"/>
      </rPr>
      <t>All forms of hydraulic cement or clinker.</t>
    </r>
  </si>
  <si>
    <r>
      <t>Shipments from mills and terminals:</t>
    </r>
    <r>
      <rPr>
        <vertAlign val="superscript"/>
        <sz val="8"/>
        <rFont val="Times New Roman"/>
        <family val="1"/>
      </rPr>
      <t>3, 4, 5</t>
    </r>
  </si>
  <si>
    <r>
      <t>Value</t>
    </r>
    <r>
      <rPr>
        <vertAlign val="superscript"/>
        <sz val="8"/>
        <rFont val="Times New Roman"/>
        <family val="1"/>
      </rPr>
      <t>6</t>
    </r>
  </si>
  <si>
    <r>
      <t>Average value</t>
    </r>
    <r>
      <rPr>
        <vertAlign val="superscript"/>
        <sz val="8"/>
        <rFont val="Times New Roman"/>
        <family val="1"/>
      </rPr>
      <t>6</t>
    </r>
  </si>
  <si>
    <r>
      <t>Imports:</t>
    </r>
    <r>
      <rPr>
        <vertAlign val="superscript"/>
        <sz val="8"/>
        <rFont val="Times New Roman"/>
        <family val="1"/>
      </rPr>
      <t>7</t>
    </r>
  </si>
  <si>
    <r>
      <t>SHIPMENTS OF PORTLAND AND BLENDED CEMENT IN THE UNITED STATES, BY TYPE OF CARRIER</t>
    </r>
    <r>
      <rPr>
        <vertAlign val="superscript"/>
        <sz val="8"/>
        <rFont val="Times New Roman"/>
        <family val="1"/>
      </rPr>
      <t>1, 2</t>
    </r>
  </si>
  <si>
    <r>
      <t>PORTLAND AND BLENDED CEMENT SHIPMENTS IN THE UNITED STATES, BY TYPE OF CEMENT</t>
    </r>
    <r>
      <rPr>
        <vertAlign val="superscript"/>
        <sz val="8"/>
        <rFont val="Times New Roman"/>
        <family val="1"/>
      </rPr>
      <t>1, 2, 3</t>
    </r>
  </si>
  <si>
    <r>
      <rPr>
        <vertAlign val="superscript"/>
        <sz val="8"/>
        <color theme="1"/>
        <rFont val="Times New Roman"/>
        <family val="1"/>
      </rPr>
      <t>3</t>
    </r>
    <r>
      <rPr>
        <sz val="8"/>
        <color theme="1"/>
        <rFont val="Times New Roman"/>
        <family val="2"/>
      </rPr>
      <t>Includes kilns active for at least 1 day during the year. For kilns idle all year, excludes those that cannot be restarted, fully permitted, in less than 6 months.</t>
    </r>
  </si>
  <si>
    <r>
      <rPr>
        <vertAlign val="superscript"/>
        <sz val="8"/>
        <color theme="1"/>
        <rFont val="Times New Roman"/>
        <family val="1"/>
      </rPr>
      <t>4</t>
    </r>
    <r>
      <rPr>
        <sz val="8"/>
        <color theme="1"/>
        <rFont val="Times New Roman"/>
        <family val="2"/>
      </rPr>
      <t>Plants that can operate wet and dry kilns, whether or not both types were active during the year. Includes plants that converted from wet to dry technology during the year.</t>
    </r>
  </si>
  <si>
    <t>Portland and blended cement</t>
  </si>
  <si>
    <r>
      <t>UNITED STATES</t>
    </r>
    <r>
      <rPr>
        <vertAlign val="superscript"/>
        <sz val="8"/>
        <rFont val="Times New Roman"/>
        <family val="1"/>
      </rPr>
      <t>1, 2</t>
    </r>
  </si>
  <si>
    <t xml:space="preserve">AVERAGE MILL NET VALUE OF PORTLAND AND BLENDED CEMENT SOLD IN THE </t>
  </si>
  <si>
    <t>Portland, limestone (Type IL)</t>
  </si>
  <si>
    <t>W Withheld to avoid disclosing company proprietary data; included in “Total.”  -- Zero.</t>
  </si>
  <si>
    <r>
      <t>Mexico</t>
    </r>
    <r>
      <rPr>
        <vertAlign val="superscript"/>
        <sz val="8"/>
        <color theme="1"/>
        <rFont val="Times New Roman"/>
        <family val="1"/>
      </rPr>
      <t>4</t>
    </r>
  </si>
  <si>
    <r>
      <t>3</t>
    </r>
    <r>
      <rPr>
        <sz val="8"/>
        <rFont val="Times New Roman"/>
        <family val="1"/>
      </rPr>
      <t>Includes cement made from imported clinker. Includes less than 0.5% per year of double–counted portland cement used to produce masonry cement, exact quantity is unknown owing to stockpiles.</t>
    </r>
  </si>
  <si>
    <r>
      <t>CEMENT SHIPMENTS TO FINAL CUSTOMER, BY DESTINATION AND ORIGIN</t>
    </r>
    <r>
      <rPr>
        <vertAlign val="superscript"/>
        <sz val="8"/>
        <rFont val="Times New Roman"/>
        <family val="1"/>
      </rPr>
      <t>1, 2</t>
    </r>
  </si>
  <si>
    <r>
      <t>4</t>
    </r>
    <r>
      <rPr>
        <sz val="8"/>
        <color rgb="FF000000"/>
        <rFont val="Times New Roman"/>
        <family val="1"/>
      </rPr>
      <t>Sold mostly under ASTM International (ASTM) specifications ASTM C150, ASTM C595, and ASTM C1157.</t>
    </r>
  </si>
  <si>
    <r>
      <t>5</t>
    </r>
    <r>
      <rPr>
        <sz val="8"/>
        <rFont val="Times New Roman"/>
        <family val="1"/>
      </rPr>
      <t>Type II/V and similar sulfate-resisting hybrids are included within Type V, as are Type HS and similar cements in ASTM C1157.</t>
    </r>
  </si>
  <si>
    <t>2022</t>
  </si>
  <si>
    <t>2022:</t>
  </si>
  <si>
    <t>Pakistan</t>
  </si>
  <si>
    <t>Other [12 countries and (or) localities]</t>
  </si>
  <si>
    <t>Italy</t>
  </si>
  <si>
    <t>Honolulu, HI:</t>
  </si>
  <si>
    <t>Peru</t>
  </si>
  <si>
    <t>Anguilla</t>
  </si>
  <si>
    <t>Turks and Caicos Islands</t>
  </si>
  <si>
    <t>r</t>
  </si>
  <si>
    <t>(5)</t>
  </si>
  <si>
    <r>
      <rPr>
        <vertAlign val="superscript"/>
        <sz val="8"/>
        <rFont val="Times New Roman"/>
        <family val="1"/>
      </rPr>
      <t>4</t>
    </r>
    <r>
      <rPr>
        <sz val="8"/>
        <rFont val="Times New Roman"/>
        <family val="1"/>
      </rPr>
      <t>Data are underreported with respect to imports into the El Paso, TX, customs district owing to additional material coming in as “informal entries.”</t>
    </r>
  </si>
  <si>
    <r>
      <rPr>
        <vertAlign val="superscript"/>
        <sz val="8"/>
        <rFont val="Times New Roman"/>
        <family val="1"/>
      </rPr>
      <t>5</t>
    </r>
    <r>
      <rPr>
        <sz val="8"/>
        <rFont val="Times New Roman"/>
        <family val="1"/>
      </rPr>
      <t>Total imports do not include gray portland cement that was misregistered by importers under the white cement tariff code; these quantities are included in table 20.</t>
    </r>
  </si>
  <si>
    <r>
      <t>Total</t>
    </r>
    <r>
      <rPr>
        <vertAlign val="superscript"/>
        <sz val="8"/>
        <rFont val="Times New Roman"/>
        <family val="1"/>
      </rPr>
      <t>4, 5, 6</t>
    </r>
  </si>
  <si>
    <r>
      <t>Total</t>
    </r>
    <r>
      <rPr>
        <vertAlign val="superscript"/>
        <sz val="8"/>
        <rFont val="Times New Roman"/>
        <family val="1"/>
      </rPr>
      <t>5, 6</t>
    </r>
  </si>
  <si>
    <r>
      <t>Grand total</t>
    </r>
    <r>
      <rPr>
        <vertAlign val="superscript"/>
        <sz val="8"/>
        <rFont val="Times New Roman"/>
        <family val="1"/>
      </rPr>
      <t>4, 5, 6</t>
    </r>
  </si>
  <si>
    <r>
      <rPr>
        <vertAlign val="superscript"/>
        <sz val="8"/>
        <color theme="1"/>
        <rFont val="Times New Roman"/>
        <family val="1"/>
      </rPr>
      <t>7</t>
    </r>
    <r>
      <rPr>
        <sz val="8"/>
        <color theme="1"/>
        <rFont val="Times New Roman"/>
        <family val="2"/>
      </rPr>
      <t>Sum of apparent annual capacities for all kilns. For each kiln, the statistic is calculated as</t>
    </r>
    <r>
      <rPr>
        <sz val="8"/>
        <rFont val="Times New Roman"/>
        <family val="1"/>
      </rPr>
      <t xml:space="preserve"> 365</t>
    </r>
    <r>
      <rPr>
        <sz val="8"/>
        <color theme="1"/>
        <rFont val="Times New Roman"/>
        <family val="2"/>
      </rPr>
      <t xml:space="preserve"> days minus days reported for routine maintenance and then multiplied by the unrounded daily capacity.</t>
    </r>
  </si>
  <si>
    <t>10</t>
  </si>
  <si>
    <t>TABLE 22</t>
  </si>
  <si>
    <r>
      <t>HYDRAULIC CEMENT: WORLD PRODUCTION, BY COUNTRY OR LOCALITY</t>
    </r>
    <r>
      <rPr>
        <vertAlign val="superscript"/>
        <sz val="8"/>
        <color theme="1"/>
        <rFont val="Times New Roman"/>
        <family val="1"/>
      </rPr>
      <t>1, 2</t>
    </r>
  </si>
  <si>
    <r>
      <t>Afghanistan</t>
    </r>
    <r>
      <rPr>
        <vertAlign val="superscript"/>
        <sz val="8"/>
        <color theme="1"/>
        <rFont val="Times New Roman"/>
        <family val="1"/>
      </rPr>
      <t>e</t>
    </r>
  </si>
  <si>
    <t>Albania</t>
  </si>
  <si>
    <r>
      <t>Algeria</t>
    </r>
    <r>
      <rPr>
        <vertAlign val="superscript"/>
        <sz val="8"/>
        <color theme="1"/>
        <rFont val="Times New Roman"/>
        <family val="1"/>
      </rPr>
      <t>e</t>
    </r>
  </si>
  <si>
    <r>
      <t>Angola</t>
    </r>
    <r>
      <rPr>
        <vertAlign val="superscript"/>
        <sz val="8"/>
        <color theme="1"/>
        <rFont val="Times New Roman"/>
        <family val="1"/>
      </rPr>
      <t>e</t>
    </r>
  </si>
  <si>
    <t>Argentina</t>
  </si>
  <si>
    <t>Armenia</t>
  </si>
  <si>
    <r>
      <t>Australia</t>
    </r>
    <r>
      <rPr>
        <vertAlign val="superscript"/>
        <sz val="8"/>
        <color theme="1"/>
        <rFont val="Times New Roman"/>
        <family val="1"/>
      </rPr>
      <t>e</t>
    </r>
  </si>
  <si>
    <t>Austria</t>
  </si>
  <si>
    <t>e</t>
  </si>
  <si>
    <t>Azerbaijan</t>
  </si>
  <si>
    <t>Bahrain</t>
  </si>
  <si>
    <r>
      <t>Bangladesh</t>
    </r>
    <r>
      <rPr>
        <vertAlign val="superscript"/>
        <sz val="8"/>
        <color theme="1"/>
        <rFont val="Times New Roman"/>
        <family val="1"/>
      </rPr>
      <t>3</t>
    </r>
  </si>
  <si>
    <r>
      <t>Barbados</t>
    </r>
    <r>
      <rPr>
        <vertAlign val="superscript"/>
        <sz val="8"/>
        <color theme="1"/>
        <rFont val="Times New Roman"/>
        <family val="1"/>
      </rPr>
      <t>e</t>
    </r>
  </si>
  <si>
    <t>Belarus</t>
  </si>
  <si>
    <t>Belgium</t>
  </si>
  <si>
    <t>r, e</t>
  </si>
  <si>
    <t>Bhutan</t>
  </si>
  <si>
    <t>Bolivia</t>
  </si>
  <si>
    <t>Bosnia and Herzegovina</t>
  </si>
  <si>
    <t>Botswana</t>
  </si>
  <si>
    <t>Bulgaria</t>
  </si>
  <si>
    <t>Burkina Faso</t>
  </si>
  <si>
    <r>
      <t>Burma</t>
    </r>
    <r>
      <rPr>
        <vertAlign val="superscript"/>
        <sz val="8"/>
        <color theme="1"/>
        <rFont val="Times New Roman"/>
        <family val="1"/>
      </rPr>
      <t>4</t>
    </r>
  </si>
  <si>
    <r>
      <t>Burundi</t>
    </r>
    <r>
      <rPr>
        <vertAlign val="superscript"/>
        <sz val="8"/>
        <color theme="1"/>
        <rFont val="Times New Roman"/>
        <family val="1"/>
      </rPr>
      <t>e</t>
    </r>
  </si>
  <si>
    <t>Cambodia</t>
  </si>
  <si>
    <t>Cameroon</t>
  </si>
  <si>
    <t>Chad</t>
  </si>
  <si>
    <t>Congo (Brazzaville)</t>
  </si>
  <si>
    <t>Congo (Kinshasa)</t>
  </si>
  <si>
    <t>Costa Rica</t>
  </si>
  <si>
    <t>Côte d'Ivoire</t>
  </si>
  <si>
    <t>Cuba</t>
  </si>
  <si>
    <t>Czechia</t>
  </si>
  <si>
    <t>Djibouti</t>
  </si>
  <si>
    <r>
      <t>Ecuador</t>
    </r>
    <r>
      <rPr>
        <vertAlign val="superscript"/>
        <sz val="8"/>
        <color theme="1"/>
        <rFont val="Times New Roman"/>
        <family val="1"/>
      </rPr>
      <t>e</t>
    </r>
  </si>
  <si>
    <t>El Salvador</t>
  </si>
  <si>
    <r>
      <t>Eritrea</t>
    </r>
    <r>
      <rPr>
        <vertAlign val="superscript"/>
        <sz val="8"/>
        <color theme="1"/>
        <rFont val="Times New Roman"/>
        <family val="1"/>
      </rPr>
      <t>e</t>
    </r>
  </si>
  <si>
    <t>Estonia</t>
  </si>
  <si>
    <r>
      <t>Ethiopia</t>
    </r>
    <r>
      <rPr>
        <vertAlign val="superscript"/>
        <sz val="8"/>
        <color theme="1"/>
        <rFont val="Times New Roman"/>
        <family val="1"/>
      </rPr>
      <t>e, 5</t>
    </r>
  </si>
  <si>
    <t>Fiji</t>
  </si>
  <si>
    <r>
      <t>Finland</t>
    </r>
    <r>
      <rPr>
        <vertAlign val="superscript"/>
        <sz val="8"/>
        <color theme="1"/>
        <rFont val="Times New Roman"/>
        <family val="1"/>
      </rPr>
      <t>e</t>
    </r>
  </si>
  <si>
    <t>Gabon</t>
  </si>
  <si>
    <t>Ghana</t>
  </si>
  <si>
    <r>
      <t>Guadeloupe</t>
    </r>
    <r>
      <rPr>
        <vertAlign val="superscript"/>
        <sz val="8"/>
        <color theme="1"/>
        <rFont val="Times New Roman"/>
        <family val="1"/>
      </rPr>
      <t>e</t>
    </r>
  </si>
  <si>
    <t>Guatemala</t>
  </si>
  <si>
    <t>Guinea</t>
  </si>
  <si>
    <r>
      <t>Guyana</t>
    </r>
    <r>
      <rPr>
        <vertAlign val="superscript"/>
        <sz val="8"/>
        <color theme="1"/>
        <rFont val="Times New Roman"/>
        <family val="1"/>
      </rPr>
      <t>e</t>
    </r>
  </si>
  <si>
    <r>
      <t>Haiti</t>
    </r>
    <r>
      <rPr>
        <vertAlign val="superscript"/>
        <sz val="8"/>
        <color theme="1"/>
        <rFont val="Times New Roman"/>
        <family val="1"/>
      </rPr>
      <t>e</t>
    </r>
  </si>
  <si>
    <t>Honduras</t>
  </si>
  <si>
    <t>Hong Kong</t>
  </si>
  <si>
    <r>
      <t>Hungary</t>
    </r>
    <r>
      <rPr>
        <vertAlign val="superscript"/>
        <sz val="8"/>
        <color theme="1"/>
        <rFont val="Times New Roman"/>
        <family val="1"/>
      </rPr>
      <t>e</t>
    </r>
  </si>
  <si>
    <r>
      <t>India</t>
    </r>
    <r>
      <rPr>
        <vertAlign val="superscript"/>
        <sz val="8"/>
        <color theme="1"/>
        <rFont val="Times New Roman"/>
        <family val="1"/>
      </rPr>
      <t>e</t>
    </r>
  </si>
  <si>
    <r>
      <t>Iran</t>
    </r>
    <r>
      <rPr>
        <vertAlign val="superscript"/>
        <sz val="8"/>
        <color theme="1"/>
        <rFont val="Times New Roman"/>
        <family val="1"/>
      </rPr>
      <t>e</t>
    </r>
  </si>
  <si>
    <t>Iraq</t>
  </si>
  <si>
    <r>
      <t>Ireland</t>
    </r>
    <r>
      <rPr>
        <vertAlign val="superscript"/>
        <sz val="8"/>
        <color theme="1"/>
        <rFont val="Times New Roman"/>
        <family val="1"/>
      </rPr>
      <t>e</t>
    </r>
  </si>
  <si>
    <t>Israel</t>
  </si>
  <si>
    <t>Jordan</t>
  </si>
  <si>
    <t>Kazakhstan</t>
  </si>
  <si>
    <t>Kenya</t>
  </si>
  <si>
    <t>Korea, North</t>
  </si>
  <si>
    <r>
      <t>Kosovo</t>
    </r>
    <r>
      <rPr>
        <vertAlign val="superscript"/>
        <sz val="8"/>
        <color theme="1"/>
        <rFont val="Times New Roman"/>
        <family val="1"/>
      </rPr>
      <t>e</t>
    </r>
  </si>
  <si>
    <r>
      <t>Kuwait</t>
    </r>
    <r>
      <rPr>
        <vertAlign val="superscript"/>
        <sz val="8"/>
        <color theme="1"/>
        <rFont val="Times New Roman"/>
        <family val="1"/>
      </rPr>
      <t>e</t>
    </r>
  </si>
  <si>
    <t>Kyrgyzstan</t>
  </si>
  <si>
    <t>Laos</t>
  </si>
  <si>
    <r>
      <t>Latvia</t>
    </r>
    <r>
      <rPr>
        <vertAlign val="superscript"/>
        <sz val="8"/>
        <color theme="1"/>
        <rFont val="Times New Roman"/>
        <family val="1"/>
      </rPr>
      <t>e</t>
    </r>
  </si>
  <si>
    <t>Lebanon</t>
  </si>
  <si>
    <t>Liberia</t>
  </si>
  <si>
    <t>Libya</t>
  </si>
  <si>
    <t>Lithuania</t>
  </si>
  <si>
    <t>Luxembourg</t>
  </si>
  <si>
    <t>Madagascar</t>
  </si>
  <si>
    <t>Malawi</t>
  </si>
  <si>
    <t>Malaysia</t>
  </si>
  <si>
    <r>
      <t>Martinique</t>
    </r>
    <r>
      <rPr>
        <vertAlign val="superscript"/>
        <sz val="8"/>
        <color theme="1"/>
        <rFont val="Times New Roman"/>
        <family val="1"/>
      </rPr>
      <t>e</t>
    </r>
  </si>
  <si>
    <t>Mauritania</t>
  </si>
  <si>
    <t>Moldova</t>
  </si>
  <si>
    <t>Mongolia</t>
  </si>
  <si>
    <t>Morocco</t>
  </si>
  <si>
    <r>
      <t>Mozambique</t>
    </r>
    <r>
      <rPr>
        <vertAlign val="superscript"/>
        <sz val="8"/>
        <color theme="1"/>
        <rFont val="Times New Roman"/>
        <family val="1"/>
      </rPr>
      <t>e</t>
    </r>
  </si>
  <si>
    <r>
      <t>Namibia</t>
    </r>
    <r>
      <rPr>
        <vertAlign val="superscript"/>
        <sz val="8"/>
        <color theme="1"/>
        <rFont val="Times New Roman"/>
        <family val="1"/>
      </rPr>
      <t>e</t>
    </r>
  </si>
  <si>
    <t>Nepal</t>
  </si>
  <si>
    <t>New Caledonia</t>
  </si>
  <si>
    <r>
      <t>New Zealand</t>
    </r>
    <r>
      <rPr>
        <vertAlign val="superscript"/>
        <sz val="8"/>
        <color theme="1"/>
        <rFont val="Times New Roman"/>
        <family val="1"/>
      </rPr>
      <t>e</t>
    </r>
  </si>
  <si>
    <t>Nicaragua</t>
  </si>
  <si>
    <t>Niger</t>
  </si>
  <si>
    <r>
      <t>Nigeria</t>
    </r>
    <r>
      <rPr>
        <vertAlign val="superscript"/>
        <sz val="8"/>
        <color theme="1"/>
        <rFont val="Times New Roman"/>
        <family val="1"/>
      </rPr>
      <t>e</t>
    </r>
  </si>
  <si>
    <t>North Macedonia</t>
  </si>
  <si>
    <t>Norway</t>
  </si>
  <si>
    <r>
      <t>Papua New Guinea</t>
    </r>
    <r>
      <rPr>
        <vertAlign val="superscript"/>
        <sz val="8"/>
        <color theme="1"/>
        <rFont val="Times New Roman"/>
        <family val="1"/>
      </rPr>
      <t>e</t>
    </r>
  </si>
  <si>
    <r>
      <t>Paraguay</t>
    </r>
    <r>
      <rPr>
        <vertAlign val="superscript"/>
        <sz val="8"/>
        <color theme="1"/>
        <rFont val="Times New Roman"/>
        <family val="1"/>
      </rPr>
      <t>e</t>
    </r>
  </si>
  <si>
    <t>Philippines</t>
  </si>
  <si>
    <t>Portugal</t>
  </si>
  <si>
    <t>Qatar</t>
  </si>
  <si>
    <t>Reunion</t>
  </si>
  <si>
    <t>Romania</t>
  </si>
  <si>
    <t>Russia</t>
  </si>
  <si>
    <r>
      <t>Rwanda</t>
    </r>
    <r>
      <rPr>
        <vertAlign val="superscript"/>
        <sz val="8"/>
        <color theme="1"/>
        <rFont val="Times New Roman"/>
        <family val="1"/>
      </rPr>
      <t>e</t>
    </r>
  </si>
  <si>
    <t>Senegal</t>
  </si>
  <si>
    <t>Serbia</t>
  </si>
  <si>
    <t>Sierra Leone</t>
  </si>
  <si>
    <t>Slovakia</t>
  </si>
  <si>
    <r>
      <t>Slovenia</t>
    </r>
    <r>
      <rPr>
        <vertAlign val="superscript"/>
        <sz val="8"/>
        <color theme="1"/>
        <rFont val="Times New Roman"/>
        <family val="1"/>
      </rPr>
      <t>e</t>
    </r>
  </si>
  <si>
    <t>South Africa</t>
  </si>
  <si>
    <t>Sri Lanka</t>
  </si>
  <si>
    <t>Sudan</t>
  </si>
  <si>
    <t>Switzerland</t>
  </si>
  <si>
    <t>Syria</t>
  </si>
  <si>
    <t>Tajikistan</t>
  </si>
  <si>
    <t>Tanzania</t>
  </si>
  <si>
    <t>Togo</t>
  </si>
  <si>
    <t>Trinidad and Tobago</t>
  </si>
  <si>
    <r>
      <t>Turkmenistan</t>
    </r>
    <r>
      <rPr>
        <vertAlign val="superscript"/>
        <sz val="8"/>
        <color theme="1"/>
        <rFont val="Times New Roman"/>
        <family val="1"/>
      </rPr>
      <t>e</t>
    </r>
  </si>
  <si>
    <t>Uganda</t>
  </si>
  <si>
    <t>Ukraine</t>
  </si>
  <si>
    <r>
      <t>United Arab Emirates</t>
    </r>
    <r>
      <rPr>
        <vertAlign val="superscript"/>
        <sz val="8"/>
        <color theme="1"/>
        <rFont val="Times New Roman"/>
        <family val="1"/>
      </rPr>
      <t>e</t>
    </r>
  </si>
  <si>
    <r>
      <t>United States</t>
    </r>
    <r>
      <rPr>
        <vertAlign val="superscript"/>
        <sz val="8"/>
        <color theme="1"/>
        <rFont val="Times New Roman"/>
        <family val="1"/>
      </rPr>
      <t>6</t>
    </r>
  </si>
  <si>
    <t>Uruguay</t>
  </si>
  <si>
    <t>Uzbekistan</t>
  </si>
  <si>
    <t>Yemen</t>
  </si>
  <si>
    <t>Zambia</t>
  </si>
  <si>
    <t>Zimbabwe</t>
  </si>
  <si>
    <r>
      <rPr>
        <vertAlign val="superscript"/>
        <sz val="8"/>
        <color theme="1"/>
        <rFont val="Times New Roman"/>
        <family val="1"/>
      </rPr>
      <t>3</t>
    </r>
    <r>
      <rPr>
        <sz val="8"/>
        <color theme="1"/>
        <rFont val="Times New Roman"/>
        <family val="1"/>
      </rPr>
      <t>Production is based on fiscal year, with a starting date of June 30 of the year shown.</t>
    </r>
  </si>
  <si>
    <r>
      <rPr>
        <vertAlign val="superscript"/>
        <sz val="8"/>
        <color theme="1"/>
        <rFont val="Times New Roman"/>
        <family val="1"/>
      </rPr>
      <t>4</t>
    </r>
    <r>
      <rPr>
        <sz val="8"/>
        <color theme="1"/>
        <rFont val="Times New Roman"/>
        <family val="1"/>
      </rPr>
      <t>Production is based on fiscal year, with a starting date of March 31 of the year shown.</t>
    </r>
  </si>
  <si>
    <r>
      <rPr>
        <vertAlign val="superscript"/>
        <sz val="8"/>
        <color theme="1"/>
        <rFont val="Times New Roman"/>
        <family val="1"/>
      </rPr>
      <t>5</t>
    </r>
    <r>
      <rPr>
        <sz val="8"/>
        <color theme="1"/>
        <rFont val="Times New Roman"/>
        <family val="1"/>
      </rPr>
      <t>Production is based on fiscal year, with a starting date of July 7 of the year shown.</t>
    </r>
  </si>
  <si>
    <r>
      <rPr>
        <vertAlign val="superscript"/>
        <sz val="8"/>
        <color theme="1"/>
        <rFont val="Times New Roman"/>
        <family val="1"/>
      </rPr>
      <t>6</t>
    </r>
    <r>
      <rPr>
        <sz val="8"/>
        <color theme="1"/>
        <rFont val="Times New Roman"/>
        <family val="1"/>
      </rPr>
      <t>Portland and masonry cements only. Includes a small (less than 0.5% per year) component of double-counting where portland cement (not clinker) is consumed to make masonry cement; the precise amount of double-counting cannot be determined because of the involvement of portland cement stockpiles.</t>
    </r>
  </si>
  <si>
    <r>
      <t>8</t>
    </r>
    <r>
      <rPr>
        <sz val="8"/>
        <rFont val="Times New Roman"/>
        <family val="1"/>
      </rPr>
      <t>May not add to totals shown because of independent rounding.</t>
    </r>
  </si>
  <si>
    <r>
      <rPr>
        <vertAlign val="superscript"/>
        <sz val="8"/>
        <rFont val="Times New Roman"/>
        <family val="1"/>
      </rPr>
      <t>9</t>
    </r>
    <r>
      <rPr>
        <sz val="8"/>
        <rFont val="Times New Roman"/>
        <family val="1"/>
      </rPr>
      <t>Production (including that from imported clinker) of cement plus imports of cement minus exports of cement minus the change in yearend cement stocks.</t>
    </r>
  </si>
  <si>
    <r>
      <t>10</t>
    </r>
    <r>
      <rPr>
        <sz val="8"/>
        <rFont val="Times New Roman"/>
        <family val="1"/>
      </rPr>
      <t>Total hydraulic cement. May include clinker exports for some countries.</t>
    </r>
  </si>
  <si>
    <r>
      <t>Total</t>
    </r>
    <r>
      <rPr>
        <vertAlign val="superscript"/>
        <sz val="8"/>
        <rFont val="Times New Roman"/>
        <family val="1"/>
      </rPr>
      <t>8</t>
    </r>
  </si>
  <si>
    <r>
      <t>Consumption, apparent</t>
    </r>
    <r>
      <rPr>
        <vertAlign val="superscript"/>
        <sz val="8"/>
        <rFont val="Times New Roman"/>
        <family val="1"/>
      </rPr>
      <t>9</t>
    </r>
  </si>
  <si>
    <r>
      <t>capacity</t>
    </r>
    <r>
      <rPr>
        <vertAlign val="superscript"/>
        <sz val="8"/>
        <color theme="1"/>
        <rFont val="Times New Roman"/>
        <family val="1"/>
      </rPr>
      <t>3,</t>
    </r>
    <r>
      <rPr>
        <sz val="8"/>
        <color theme="1"/>
        <rFont val="Times New Roman"/>
        <family val="2"/>
      </rPr>
      <t xml:space="preserve"> </t>
    </r>
    <r>
      <rPr>
        <vertAlign val="superscript"/>
        <sz val="8"/>
        <color theme="1"/>
        <rFont val="Times New Roman"/>
        <family val="1"/>
      </rPr>
      <t>5</t>
    </r>
  </si>
  <si>
    <r>
      <t>6</t>
    </r>
    <r>
      <rPr>
        <sz val="8"/>
        <rFont val="Times New Roman"/>
        <family val="1"/>
      </rPr>
      <t>Distillate and residual fuel oils. Excludes any used oils that were reported under liquid wastes.</t>
    </r>
  </si>
  <si>
    <r>
      <t>6</t>
    </r>
    <r>
      <rPr>
        <sz val="8"/>
        <rFont val="Times New Roman"/>
        <family val="1"/>
      </rPr>
      <t xml:space="preserve">Includes one semidry plant and one semiwet plant. </t>
    </r>
  </si>
  <si>
    <r>
      <t>7</t>
    </r>
    <r>
      <rPr>
        <sz val="8"/>
        <rFont val="Times New Roman"/>
        <family val="1"/>
      </rPr>
      <t>Plants that can operate wet and dry kilns, whether or not both types were active during the year. Includes plants that converted from wet to dry technology during the year.</t>
    </r>
  </si>
  <si>
    <r>
      <rPr>
        <vertAlign val="superscript"/>
        <sz val="8"/>
        <rFont val="Times New Roman"/>
        <family val="1"/>
      </rPr>
      <t>9</t>
    </r>
    <r>
      <rPr>
        <sz val="8"/>
        <rFont val="Times New Roman"/>
        <family val="1"/>
      </rPr>
      <t xml:space="preserve">Plants at which production of portland cement was by regrinding of one type into another or which reported production only of masonry cement. </t>
    </r>
  </si>
  <si>
    <r>
      <t>of plants</t>
    </r>
    <r>
      <rPr>
        <vertAlign val="superscript"/>
        <sz val="8"/>
        <rFont val="Times New Roman"/>
        <family val="1"/>
      </rPr>
      <t>5</t>
    </r>
  </si>
  <si>
    <r>
      <t>6</t>
    </r>
    <r>
      <rPr>
        <sz val="8"/>
        <rFont val="Times New Roman"/>
        <family val="1"/>
      </rPr>
      <t>Shipments are based on an annual survey of plants and importers; may differ from totals in table 9, which are based on consolidated monthly data.</t>
    </r>
  </si>
  <si>
    <t>6</t>
  </si>
  <si>
    <r>
      <t>4</t>
    </r>
    <r>
      <rPr>
        <sz val="8"/>
        <rFont val="Times New Roman"/>
        <family val="1"/>
      </rPr>
      <t>Values are mill net or ex-plant (free on board) valuations of total sales to final customers, including sales from plants’ external distribution terminals. The data are ex-terminal for independently reporting terminals. Data include all varieties of portland and blended  cement and both bulk and bag shipments. Unless otherwise specified, data are presented unrounded. Unrounded or not, unit value data should be viewed as value indicators, accurate to no more than the nearest $0.50 or $1.00 per metric ton.</t>
    </r>
  </si>
  <si>
    <r>
      <t>Total</t>
    </r>
    <r>
      <rPr>
        <vertAlign val="superscript"/>
        <sz val="8"/>
        <color theme="1"/>
        <rFont val="Times New Roman"/>
        <family val="1"/>
      </rPr>
      <t>4,7</t>
    </r>
  </si>
  <si>
    <r>
      <t>Canada</t>
    </r>
    <r>
      <rPr>
        <vertAlign val="superscript"/>
        <sz val="8"/>
        <color indexed="8"/>
        <rFont val="Times New Roman"/>
        <family val="1"/>
      </rPr>
      <t>7</t>
    </r>
  </si>
  <si>
    <r>
      <t>Malta</t>
    </r>
    <r>
      <rPr>
        <vertAlign val="superscript"/>
        <sz val="8"/>
        <color theme="1"/>
        <rFont val="Times New Roman"/>
        <family val="1"/>
      </rPr>
      <t>6</t>
    </r>
  </si>
  <si>
    <r>
      <rPr>
        <vertAlign val="superscript"/>
        <sz val="8"/>
        <rFont val="Times New Roman"/>
        <family val="1"/>
      </rPr>
      <t>5</t>
    </r>
    <r>
      <rPr>
        <sz val="8"/>
        <rFont val="Times New Roman"/>
        <family val="1"/>
      </rPr>
      <t xml:space="preserve">Less than ½ unit. </t>
    </r>
  </si>
  <si>
    <r>
      <t>4</t>
    </r>
    <r>
      <rPr>
        <sz val="8"/>
        <rFont val="Times New Roman"/>
        <family val="1"/>
      </rPr>
      <t>Data are underreported with respect to clinker from Canada, and cement from Mexico, owing to additional material coming in as “informal entries.”</t>
    </r>
  </si>
  <si>
    <r>
      <rPr>
        <vertAlign val="superscript"/>
        <sz val="8"/>
        <rFont val="Times New Roman"/>
        <family val="1"/>
      </rPr>
      <t>6</t>
    </r>
    <r>
      <rPr>
        <sz val="8"/>
        <rFont val="Times New Roman"/>
        <family val="1"/>
      </rPr>
      <t>Malta has no cement plants; material is believed to be from Turkey.</t>
    </r>
  </si>
  <si>
    <r>
      <rPr>
        <vertAlign val="superscript"/>
        <sz val="8"/>
        <color theme="1"/>
        <rFont val="Times New Roman"/>
        <family val="1"/>
      </rPr>
      <t>9</t>
    </r>
    <r>
      <rPr>
        <sz val="8"/>
        <color theme="1"/>
        <rFont val="Times New Roman"/>
        <family val="2"/>
      </rPr>
      <t>Includes only those importers or terminals for which district assignations were not possible.</t>
    </r>
  </si>
  <si>
    <r>
      <rPr>
        <vertAlign val="superscript"/>
        <sz val="8"/>
        <color theme="1"/>
        <rFont val="Times New Roman"/>
        <family val="1"/>
      </rPr>
      <t>10</t>
    </r>
    <r>
      <rPr>
        <sz val="8"/>
        <color theme="1"/>
        <rFont val="Times New Roman"/>
        <family val="2"/>
      </rPr>
      <t>May not add to totals or weighted averages shown because of independent rounding.</t>
    </r>
  </si>
  <si>
    <r>
      <rPr>
        <vertAlign val="superscript"/>
        <sz val="8"/>
        <color theme="1"/>
        <rFont val="Times New Roman"/>
        <family val="1"/>
      </rPr>
      <t>8</t>
    </r>
    <r>
      <rPr>
        <sz val="8"/>
        <color theme="1"/>
        <rFont val="Times New Roman"/>
        <family val="2"/>
      </rPr>
      <t>Stocks include inventory not included on a district basis.</t>
    </r>
  </si>
  <si>
    <t>7, 8</t>
  </si>
  <si>
    <r>
      <t>Importers</t>
    </r>
    <r>
      <rPr>
        <vertAlign val="superscript"/>
        <sz val="8"/>
        <color theme="1"/>
        <rFont val="Times New Roman"/>
        <family val="1"/>
      </rPr>
      <t>7, 9</t>
    </r>
  </si>
  <si>
    <r>
      <rPr>
        <vertAlign val="superscript"/>
        <sz val="8"/>
        <color theme="1"/>
        <rFont val="Times New Roman"/>
        <family val="1"/>
      </rPr>
      <t>7</t>
    </r>
    <r>
      <rPr>
        <sz val="8"/>
        <color theme="1"/>
        <rFont val="Times New Roman"/>
        <family val="2"/>
      </rPr>
      <t>Stocks include inventory, not included on a district basis, held by independent importers.</t>
    </r>
  </si>
  <si>
    <r>
      <rPr>
        <vertAlign val="superscript"/>
        <sz val="8"/>
        <color theme="1"/>
        <rFont val="Times New Roman"/>
        <family val="1"/>
      </rPr>
      <t>8</t>
    </r>
    <r>
      <rPr>
        <sz val="8"/>
        <color theme="1"/>
        <rFont val="Times New Roman"/>
        <family val="2"/>
      </rPr>
      <t>May not add to totals shown because of independent rounding.</t>
    </r>
  </si>
  <si>
    <t>5, 7</t>
  </si>
  <si>
    <r>
      <t>Grand total</t>
    </r>
    <r>
      <rPr>
        <vertAlign val="superscript"/>
        <sz val="8"/>
        <color theme="1"/>
        <rFont val="Times New Roman"/>
        <family val="1"/>
      </rPr>
      <t>8</t>
    </r>
  </si>
  <si>
    <r>
      <t>Total</t>
    </r>
    <r>
      <rPr>
        <vertAlign val="superscript"/>
        <sz val="8"/>
        <color theme="1"/>
        <rFont val="Times New Roman"/>
        <family val="1"/>
      </rPr>
      <t>8</t>
    </r>
  </si>
  <si>
    <r>
      <t>11</t>
    </r>
    <r>
      <rPr>
        <sz val="8"/>
        <rFont val="Times New Roman"/>
        <family val="1"/>
      </rPr>
      <t>May not add to totals shown because of independent rounding.</t>
    </r>
  </si>
  <si>
    <r>
      <t>12</t>
    </r>
    <r>
      <rPr>
        <sz val="8"/>
        <rFont val="Times New Roman"/>
        <family val="1"/>
      </rPr>
      <t>Includes low heat (Type IV), waterproof, and other portland-type cements.</t>
    </r>
  </si>
  <si>
    <r>
      <t>Grand total</t>
    </r>
    <r>
      <rPr>
        <vertAlign val="superscript"/>
        <sz val="8"/>
        <rFont val="Times New Roman"/>
        <family val="1"/>
      </rPr>
      <t>11</t>
    </r>
  </si>
  <si>
    <r>
      <t>Miscellaneous</t>
    </r>
    <r>
      <rPr>
        <vertAlign val="superscript"/>
        <sz val="8"/>
        <rFont val="Times New Roman"/>
        <family val="1"/>
      </rPr>
      <t>12</t>
    </r>
  </si>
  <si>
    <r>
      <t>Total blended</t>
    </r>
    <r>
      <rPr>
        <vertAlign val="superscript"/>
        <sz val="8"/>
        <rFont val="Times New Roman"/>
        <family val="1"/>
      </rPr>
      <t>11</t>
    </r>
  </si>
  <si>
    <r>
      <t>Portland, other pozzolans</t>
    </r>
    <r>
      <rPr>
        <vertAlign val="superscript"/>
        <sz val="8"/>
        <rFont val="Times New Roman"/>
        <family val="1"/>
      </rPr>
      <t>10</t>
    </r>
  </si>
  <si>
    <r>
      <t>Dry</t>
    </r>
    <r>
      <rPr>
        <vertAlign val="superscript"/>
        <sz val="8"/>
        <rFont val="Times New Roman"/>
        <family val="1"/>
      </rPr>
      <t>6</t>
    </r>
  </si>
  <si>
    <r>
      <t>Both</t>
    </r>
    <r>
      <rPr>
        <vertAlign val="superscript"/>
        <sz val="8"/>
        <rFont val="Times New Roman"/>
        <family val="1"/>
      </rPr>
      <t>7</t>
    </r>
  </si>
  <si>
    <r>
      <t>Grinding plants</t>
    </r>
    <r>
      <rPr>
        <vertAlign val="superscript"/>
        <sz val="8"/>
        <rFont val="Times New Roman"/>
        <family val="1"/>
      </rPr>
      <t>8</t>
    </r>
  </si>
  <si>
    <r>
      <t>Exclusions</t>
    </r>
    <r>
      <rPr>
        <vertAlign val="superscript"/>
        <sz val="8"/>
        <rFont val="Times New Roman"/>
        <family val="1"/>
      </rPr>
      <t>9</t>
    </r>
  </si>
  <si>
    <r>
      <t>11</t>
    </r>
    <r>
      <rPr>
        <sz val="8"/>
        <rFont val="Times New Roman"/>
        <family val="1"/>
      </rPr>
      <t xml:space="preserve">May include estimated data. </t>
    </r>
  </si>
  <si>
    <r>
      <t>Canada</t>
    </r>
    <r>
      <rPr>
        <vertAlign val="superscript"/>
        <sz val="8"/>
        <color theme="1"/>
        <rFont val="Times New Roman"/>
        <family val="1"/>
      </rPr>
      <t>7</t>
    </r>
  </si>
  <si>
    <r>
      <t>Total</t>
    </r>
    <r>
      <rPr>
        <vertAlign val="superscript"/>
        <sz val="8"/>
        <color theme="1"/>
        <rFont val="Times New Roman"/>
        <family val="1"/>
      </rPr>
      <t>4, 7</t>
    </r>
  </si>
  <si>
    <r>
      <t>Mexico</t>
    </r>
    <r>
      <rPr>
        <vertAlign val="superscript"/>
        <sz val="8"/>
        <color theme="1"/>
        <rFont val="Times New Roman"/>
        <family val="1"/>
      </rPr>
      <t>7</t>
    </r>
  </si>
  <si>
    <r>
      <t>Total</t>
    </r>
    <r>
      <rPr>
        <vertAlign val="superscript"/>
        <sz val="8"/>
        <color indexed="8"/>
        <rFont val="Times New Roman"/>
        <family val="1"/>
      </rPr>
      <t>4, 7</t>
    </r>
  </si>
  <si>
    <r>
      <rPr>
        <vertAlign val="superscript"/>
        <sz val="8"/>
        <color theme="1"/>
        <rFont val="Times New Roman"/>
        <family val="1"/>
      </rPr>
      <t>2</t>
    </r>
    <r>
      <rPr>
        <sz val="8"/>
        <color theme="1"/>
        <rFont val="Times New Roman"/>
        <family val="1"/>
      </rPr>
      <t>World totals, U.S. data and estimated data are rounded to no more than three significant digits; may not add to totals shown. Even where presented unrounded, reported data are thought to be accurate to no more than three significant digits. Data are from a variety of sources, including the European Cement Association. Data may include clinker exports for some countries.</t>
    </r>
  </si>
  <si>
    <t>2023</t>
  </si>
  <si>
    <r>
      <t>CLINKER CAPACITY AND PRODUCTION IN THE UNITED STATES IN 2023 BY DISTRICT</t>
    </r>
    <r>
      <rPr>
        <vertAlign val="superscript"/>
        <sz val="8"/>
        <color theme="1"/>
        <rFont val="Times New Roman"/>
        <family val="1"/>
      </rPr>
      <t>1</t>
    </r>
  </si>
  <si>
    <t>2023:</t>
  </si>
  <si>
    <r>
      <t>PORTLAND AND BLENDED CEMENT SHIPMENTS IN 2023, BY DISTRICT AND TYPE OF CUSTOMER</t>
    </r>
    <r>
      <rPr>
        <vertAlign val="superscript"/>
        <sz val="8"/>
        <rFont val="Times New Roman"/>
        <family val="1"/>
      </rPr>
      <t>1</t>
    </r>
  </si>
  <si>
    <t>Other [71 countries and (or) localities]</t>
  </si>
  <si>
    <t>Bermuda</t>
  </si>
  <si>
    <t>Micronesia</t>
  </si>
  <si>
    <t>India</t>
  </si>
  <si>
    <t>Ireland</t>
  </si>
  <si>
    <t>Great Falls, MT:</t>
  </si>
  <si>
    <t>Minneapolis, MN:</t>
  </si>
  <si>
    <t>Pembina, ND, Canada</t>
  </si>
  <si>
    <t>Port Arthur, TX:</t>
  </si>
  <si>
    <t>Other [13 countries and (or) localities]</t>
  </si>
  <si>
    <r>
      <t>1</t>
    </r>
    <r>
      <rPr>
        <sz val="8"/>
        <rFont val="Times New Roman"/>
        <family val="1"/>
      </rPr>
      <t xml:space="preserve">Table includes data available through November 15, 2024. Data are unrounded but are thought to be accurate to no more than three significant digits. </t>
    </r>
  </si>
  <si>
    <r>
      <t>1</t>
    </r>
    <r>
      <rPr>
        <sz val="8"/>
        <rFont val="Times New Roman"/>
        <family val="1"/>
      </rPr>
      <t>Table includes data available through November 15, 2024. Data are unrounded but are thought to be accurate to no more than three significant digits.</t>
    </r>
  </si>
  <si>
    <r>
      <rPr>
        <vertAlign val="superscript"/>
        <sz val="8"/>
        <rFont val="Times New Roman"/>
        <family val="1"/>
      </rPr>
      <t>1</t>
    </r>
    <r>
      <rPr>
        <sz val="8"/>
        <rFont val="Times New Roman"/>
        <family val="1"/>
      </rPr>
      <t>Table includes data available through November 15, 2024. Data are unrounded but are thought to be accurate to no more than three significant digits. For all types of hydraulic cement.</t>
    </r>
  </si>
  <si>
    <r>
      <rPr>
        <vertAlign val="superscript"/>
        <sz val="8"/>
        <rFont val="Times New Roman"/>
        <family val="1"/>
      </rPr>
      <t>r</t>
    </r>
    <r>
      <rPr>
        <sz val="8"/>
        <rFont val="Times New Roman"/>
        <family val="1"/>
      </rPr>
      <t>Revised.</t>
    </r>
  </si>
  <si>
    <r>
      <rPr>
        <vertAlign val="superscript"/>
        <sz val="8"/>
        <color theme="1"/>
        <rFont val="Times New Roman"/>
        <family val="1"/>
      </rPr>
      <t>1</t>
    </r>
    <r>
      <rPr>
        <sz val="8"/>
        <color theme="1"/>
        <rFont val="Times New Roman"/>
        <family val="1"/>
      </rPr>
      <t xml:space="preserve">Table includes data available through November 15, 2024. Data are unrounded but are thought to be accurate to no more than three significant digits. Includes portland and masonry cements. </t>
    </r>
  </si>
  <si>
    <r>
      <rPr>
        <vertAlign val="superscript"/>
        <sz val="8"/>
        <color theme="1"/>
        <rFont val="Times New Roman"/>
        <family val="1"/>
      </rPr>
      <t>1</t>
    </r>
    <r>
      <rPr>
        <sz val="8"/>
        <color theme="1"/>
        <rFont val="Times New Roman"/>
        <family val="1"/>
      </rPr>
      <t xml:space="preserve">Table includes data available through November 15, 2024. Data are unrounded but are thought to be accurate to no more than three significant digits. Includes portland, masonry, and other hydraulic cements. </t>
    </r>
  </si>
  <si>
    <r>
      <t>1</t>
    </r>
    <r>
      <rPr>
        <sz val="8"/>
        <rFont val="Times New Roman"/>
        <family val="1"/>
      </rPr>
      <t>Table includes data available through November 15, 2024. Includes all varieties of hydraulic cement and clinker. Data are unrounded but are thought to be accurate to no more than three significant digits.</t>
    </r>
  </si>
  <si>
    <r>
      <t>Total</t>
    </r>
    <r>
      <rPr>
        <vertAlign val="superscript"/>
        <sz val="8"/>
        <rFont val="Times New Roman"/>
        <family val="1"/>
      </rPr>
      <t>4, 6</t>
    </r>
  </si>
  <si>
    <r>
      <t>Grand total</t>
    </r>
    <r>
      <rPr>
        <vertAlign val="superscript"/>
        <sz val="8"/>
        <rFont val="Times New Roman"/>
        <family val="1"/>
      </rPr>
      <t>4, 6</t>
    </r>
  </si>
  <si>
    <r>
      <t>Total</t>
    </r>
    <r>
      <rPr>
        <vertAlign val="superscript"/>
        <sz val="8"/>
        <rFont val="Times New Roman"/>
        <family val="1"/>
      </rPr>
      <t>6</t>
    </r>
  </si>
  <si>
    <r>
      <t>Grand total</t>
    </r>
    <r>
      <rPr>
        <vertAlign val="superscript"/>
        <sz val="8"/>
        <rFont val="Times New Roman"/>
        <family val="1"/>
      </rPr>
      <t>6</t>
    </r>
  </si>
  <si>
    <r>
      <t>Texas, southern</t>
    </r>
    <r>
      <rPr>
        <vertAlign val="superscript"/>
        <sz val="8"/>
        <color theme="1"/>
        <rFont val="Times New Roman"/>
        <family val="1"/>
      </rPr>
      <t>7</t>
    </r>
  </si>
  <si>
    <r>
      <t>California</t>
    </r>
    <r>
      <rPr>
        <vertAlign val="superscript"/>
        <sz val="8"/>
        <color theme="1"/>
        <rFont val="Times New Roman"/>
        <family val="1"/>
      </rPr>
      <t>7</t>
    </r>
  </si>
  <si>
    <r>
      <t>Pennsylvania</t>
    </r>
    <r>
      <rPr>
        <vertAlign val="superscript"/>
        <sz val="8"/>
        <color theme="1"/>
        <rFont val="Times New Roman"/>
        <family val="1"/>
      </rPr>
      <t>5</t>
    </r>
  </si>
  <si>
    <r>
      <t>Texas</t>
    </r>
    <r>
      <rPr>
        <vertAlign val="superscript"/>
        <sz val="8"/>
        <color theme="1"/>
        <rFont val="Times New Roman"/>
        <family val="1"/>
      </rPr>
      <t>5</t>
    </r>
  </si>
  <si>
    <t>9</t>
  </si>
  <si>
    <r>
      <t>4</t>
    </r>
    <r>
      <rPr>
        <sz val="8"/>
        <rFont val="Times New Roman"/>
        <family val="1"/>
      </rPr>
      <t>Excludes idle plants that, although retained as active in terms of clinker capacity, had no production during 2022–23.</t>
    </r>
  </si>
  <si>
    <r>
      <t>5</t>
    </r>
    <r>
      <rPr>
        <sz val="8"/>
        <rFont val="Times New Roman"/>
        <family val="1"/>
      </rPr>
      <t>Excludes idle plants that, although retained as active in terms of clinker capacity, had no production during 2022–23.</t>
    </r>
  </si>
  <si>
    <t>3</t>
  </si>
  <si>
    <t>19</t>
  </si>
  <si>
    <r>
      <t>8</t>
    </r>
    <r>
      <rPr>
        <sz val="8"/>
        <rFont val="Times New Roman"/>
        <family val="1"/>
      </rPr>
      <t>Does not include sales of imported cement likely destined to “Texas, southern” by companies that do not report to the USGS.</t>
    </r>
  </si>
  <si>
    <t>Alabama, Kentucky, Mississippi, Tennessee</t>
  </si>
  <si>
    <t>Belize</t>
  </si>
  <si>
    <t>NA</t>
  </si>
  <si>
    <r>
      <t>Benin</t>
    </r>
    <r>
      <rPr>
        <vertAlign val="superscript"/>
        <sz val="8"/>
        <color theme="1"/>
        <rFont val="Times New Roman"/>
        <family val="1"/>
      </rPr>
      <t>e</t>
    </r>
  </si>
  <si>
    <t>Brunei</t>
  </si>
  <si>
    <r>
      <t>French Guiana</t>
    </r>
    <r>
      <rPr>
        <vertAlign val="superscript"/>
        <sz val="8"/>
        <color theme="1"/>
        <rFont val="Times New Roman"/>
        <family val="1"/>
      </rPr>
      <t>e</t>
    </r>
  </si>
  <si>
    <r>
      <t>Mali</t>
    </r>
    <r>
      <rPr>
        <vertAlign val="superscript"/>
        <sz val="8"/>
        <color theme="1"/>
        <rFont val="Times New Roman"/>
        <family val="1"/>
      </rPr>
      <t>e</t>
    </r>
  </si>
  <si>
    <t>Oman</t>
  </si>
  <si>
    <r>
      <t>Suriname</t>
    </r>
    <r>
      <rPr>
        <vertAlign val="superscript"/>
        <sz val="8"/>
        <color theme="1"/>
        <rFont val="Times New Roman"/>
        <family val="1"/>
      </rPr>
      <t>e</t>
    </r>
  </si>
  <si>
    <r>
      <t>Sweden</t>
    </r>
    <r>
      <rPr>
        <vertAlign val="superscript"/>
        <sz val="8"/>
        <color theme="1"/>
        <rFont val="Times New Roman"/>
        <family val="1"/>
      </rPr>
      <t>e</t>
    </r>
  </si>
  <si>
    <r>
      <t>Venezuela</t>
    </r>
    <r>
      <rPr>
        <vertAlign val="superscript"/>
        <sz val="8"/>
        <color theme="1"/>
        <rFont val="Times New Roman"/>
        <family val="1"/>
      </rPr>
      <t>e</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</si>
  <si>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NA Not available.  -- Zero.</t>
    </r>
  </si>
  <si>
    <r>
      <rPr>
        <vertAlign val="superscript"/>
        <sz val="8"/>
        <color theme="1"/>
        <rFont val="Times New Roman"/>
        <family val="1"/>
      </rPr>
      <t>1</t>
    </r>
    <r>
      <rPr>
        <sz val="8"/>
        <color theme="1"/>
        <rFont val="Times New Roman"/>
        <family val="1"/>
      </rPr>
      <t>Table includes data available through November 18, 2024. All data are reported unless otherwise noted; totals may include estimated data.</t>
    </r>
  </si>
  <si>
    <r>
      <rPr>
        <sz val="8"/>
        <rFont val="Times New Roman"/>
        <family val="1"/>
      </rPr>
      <t>-- Zero.</t>
    </r>
  </si>
  <si>
    <r>
      <t>Cement kiln dust (CKD)</t>
    </r>
    <r>
      <rPr>
        <vertAlign val="superscript"/>
        <sz val="8"/>
        <rFont val="Times New Roman"/>
        <family val="1"/>
      </rPr>
      <t>4</t>
    </r>
  </si>
  <si>
    <r>
      <t>Florida</t>
    </r>
    <r>
      <rPr>
        <vertAlign val="superscript"/>
        <sz val="8"/>
        <rFont val="Times New Roman"/>
        <family val="1"/>
      </rPr>
      <t>e</t>
    </r>
  </si>
  <si>
    <r>
      <t>Georgia</t>
    </r>
    <r>
      <rPr>
        <vertAlign val="superscript"/>
        <sz val="8"/>
        <rFont val="Times New Roman"/>
        <family val="1"/>
      </rPr>
      <t>e</t>
    </r>
  </si>
  <si>
    <r>
      <t>Louisiana</t>
    </r>
    <r>
      <rPr>
        <vertAlign val="superscript"/>
        <sz val="8"/>
        <rFont val="Times New Roman"/>
        <family val="1"/>
      </rPr>
      <t>e, 3</t>
    </r>
  </si>
  <si>
    <r>
      <t>Texas, northern</t>
    </r>
    <r>
      <rPr>
        <vertAlign val="superscript"/>
        <sz val="8"/>
        <rFont val="Times New Roman"/>
        <family val="1"/>
      </rPr>
      <t>e</t>
    </r>
  </si>
  <si>
    <r>
      <rPr>
        <vertAlign val="superscript"/>
        <sz val="8"/>
        <rFont val="Times New Roman"/>
        <family val="1"/>
      </rPr>
      <t>e</t>
    </r>
    <r>
      <rPr>
        <sz val="8"/>
        <rFont val="Times New Roman"/>
        <family val="1"/>
      </rPr>
      <t>Estimated. -- Zero.</t>
    </r>
  </si>
  <si>
    <r>
      <t>PORTLAND AND BLENDED CEMENT SHIPPED IN THE UNITED STATES, BY DISTRICT AND VALUE</t>
    </r>
    <r>
      <rPr>
        <vertAlign val="superscript"/>
        <sz val="8"/>
        <rFont val="Times New Roman"/>
        <family val="1"/>
      </rPr>
      <t>1</t>
    </r>
  </si>
  <si>
    <r>
      <t>5</t>
    </r>
    <r>
      <rPr>
        <sz val="8"/>
        <rFont val="Times New Roman"/>
        <family val="1"/>
      </rPr>
      <t>Average value calculated from unrounded data.</t>
    </r>
  </si>
  <si>
    <r>
      <t>6</t>
    </r>
    <r>
      <rPr>
        <sz val="8"/>
        <rFont val="Times New Roman"/>
        <family val="1"/>
      </rPr>
      <t>Data are rounded to three significant digits (unit values to the nearest $0.50) because they include estimates.</t>
    </r>
  </si>
  <si>
    <r>
      <t>7</t>
    </r>
    <r>
      <rPr>
        <sz val="8"/>
        <rFont val="Times New Roman"/>
        <family val="1"/>
      </rPr>
      <t>Importers for which district assignations were not possible.</t>
    </r>
  </si>
  <si>
    <r>
      <t>Average</t>
    </r>
    <r>
      <rPr>
        <vertAlign val="superscript"/>
        <sz val="8"/>
        <rFont val="Times New Roman"/>
        <family val="1"/>
      </rPr>
      <t>5</t>
    </r>
  </si>
  <si>
    <r>
      <t>Texas, northern</t>
    </r>
    <r>
      <rPr>
        <vertAlign val="superscript"/>
        <sz val="8"/>
        <rFont val="Times New Roman"/>
        <family val="1"/>
      </rPr>
      <t>6</t>
    </r>
  </si>
  <si>
    <r>
      <t>Texas, southern</t>
    </r>
    <r>
      <rPr>
        <vertAlign val="superscript"/>
        <sz val="8"/>
        <rFont val="Times New Roman"/>
        <family val="1"/>
      </rPr>
      <t>6</t>
    </r>
  </si>
  <si>
    <r>
      <t>California</t>
    </r>
    <r>
      <rPr>
        <vertAlign val="superscript"/>
        <sz val="8"/>
        <rFont val="Times New Roman"/>
        <family val="1"/>
      </rPr>
      <t>6</t>
    </r>
  </si>
  <si>
    <r>
      <t>Grand total</t>
    </r>
    <r>
      <rPr>
        <vertAlign val="superscript"/>
        <sz val="8"/>
        <rFont val="Times New Roman"/>
        <family val="1"/>
      </rPr>
      <t>8</t>
    </r>
  </si>
  <si>
    <r>
      <t>MASONRY CEMENT SHIPPED IN THE UNITED STATES, BY DISTRICT AND VALUE</t>
    </r>
    <r>
      <rPr>
        <vertAlign val="superscript"/>
        <sz val="8"/>
        <rFont val="Times New Roman"/>
        <family val="1"/>
      </rPr>
      <t>1, 2</t>
    </r>
  </si>
  <si>
    <r>
      <t>6</t>
    </r>
    <r>
      <rPr>
        <sz val="8"/>
        <rFont val="Times New Roman"/>
        <family val="1"/>
      </rPr>
      <t>Average value calculated from unrounded data.</t>
    </r>
  </si>
  <si>
    <r>
      <t>Average</t>
    </r>
    <r>
      <rPr>
        <vertAlign val="superscript"/>
        <sz val="8"/>
        <rFont val="Times New Roman"/>
        <family val="1"/>
      </rPr>
      <t>6</t>
    </r>
  </si>
  <si>
    <r>
      <t>7</t>
    </r>
    <r>
      <rPr>
        <sz val="8"/>
        <rFont val="Times New Roman"/>
        <family val="1"/>
      </rPr>
      <t>Data are rounded to no more than three significant digits (unit values to the nearest $0.50) because they include estimates.</t>
    </r>
  </si>
  <si>
    <r>
      <rPr>
        <vertAlign val="superscript"/>
        <sz val="8"/>
        <rFont val="Times New Roman"/>
        <family val="1"/>
      </rPr>
      <t>8</t>
    </r>
    <r>
      <rPr>
        <sz val="8"/>
        <rFont val="Times New Roman"/>
        <family val="1"/>
      </rPr>
      <t>Importers for which district assignations were not possible.</t>
    </r>
  </si>
  <si>
    <r>
      <rPr>
        <vertAlign val="superscript"/>
        <sz val="8"/>
        <rFont val="Times New Roman"/>
        <family val="1"/>
      </rPr>
      <t>9</t>
    </r>
    <r>
      <rPr>
        <sz val="8"/>
        <rFont val="Times New Roman"/>
        <family val="1"/>
      </rPr>
      <t>May not add to totals shown because of independent rounding.</t>
    </r>
  </si>
  <si>
    <t>11</t>
  </si>
  <si>
    <r>
      <t>California, Oregon, Washington</t>
    </r>
    <r>
      <rPr>
        <vertAlign val="superscript"/>
        <sz val="8"/>
        <rFont val="Times New Roman"/>
        <family val="1"/>
      </rPr>
      <t>7</t>
    </r>
  </si>
  <si>
    <r>
      <t>Importers</t>
    </r>
    <r>
      <rPr>
        <vertAlign val="superscript"/>
        <sz val="8"/>
        <rFont val="Times New Roman"/>
        <family val="1"/>
      </rPr>
      <t>7, 8</t>
    </r>
  </si>
  <si>
    <r>
      <t>Total or average</t>
    </r>
    <r>
      <rPr>
        <vertAlign val="superscript"/>
        <sz val="8"/>
        <rFont val="Times New Roman"/>
        <family val="1"/>
      </rPr>
      <t>7, 9</t>
    </r>
  </si>
  <si>
    <r>
      <t>Grand total or average</t>
    </r>
    <r>
      <rPr>
        <vertAlign val="superscript"/>
        <sz val="8"/>
        <rFont val="Times New Roman"/>
        <family val="1"/>
      </rPr>
      <t>7, 9</t>
    </r>
  </si>
  <si>
    <r>
      <t>Pennsylvania</t>
    </r>
    <r>
      <rPr>
        <vertAlign val="superscript"/>
        <sz val="8"/>
        <rFont val="Times New Roman"/>
        <family val="1"/>
      </rPr>
      <t>7</t>
    </r>
  </si>
  <si>
    <r>
      <t>Texas</t>
    </r>
    <r>
      <rPr>
        <vertAlign val="superscript"/>
        <sz val="8"/>
        <rFont val="Times New Roman"/>
        <family val="1"/>
      </rPr>
      <t>7</t>
    </r>
  </si>
  <si>
    <r>
      <t>6</t>
    </r>
    <r>
      <rPr>
        <sz val="8"/>
        <rFont val="Times New Roman"/>
        <family val="1"/>
      </rPr>
      <t>Includes estimates for nonrespondents or facilities that provided incomplete information.</t>
    </r>
  </si>
  <si>
    <r>
      <t>7</t>
    </r>
    <r>
      <rPr>
        <sz val="8"/>
        <rFont val="Times New Roman"/>
        <family val="1"/>
      </rPr>
      <t>Shipments by importers where district assignations were not possible.</t>
    </r>
  </si>
  <si>
    <r>
      <t>9</t>
    </r>
    <r>
      <rPr>
        <sz val="8"/>
        <rFont val="Times New Roman"/>
        <family val="1"/>
      </rPr>
      <t>Includes airport—30; soil cement—2,990; road paving—4,660; and other or unspecified—1,820.</t>
    </r>
  </si>
  <si>
    <r>
      <t>10</t>
    </r>
    <r>
      <rPr>
        <sz val="8"/>
        <rFont val="Times New Roman"/>
        <family val="1"/>
      </rPr>
      <t>Includes waste stabilization—290; mining—370; and oil well drilling—2,050.</t>
    </r>
  </si>
  <si>
    <r>
      <t>11</t>
    </r>
    <r>
      <rPr>
        <sz val="8"/>
        <rFont val="Times New Roman"/>
        <family val="1"/>
      </rPr>
      <t>Includes other or unspecified—1,450.</t>
    </r>
  </si>
  <si>
    <r>
      <t>Importers</t>
    </r>
    <r>
      <rPr>
        <vertAlign val="superscript"/>
        <sz val="8"/>
        <rFont val="Times New Roman"/>
        <family val="1"/>
      </rPr>
      <t>7</t>
    </r>
  </si>
  <si>
    <r>
      <t>10</t>
    </r>
    <r>
      <rPr>
        <sz val="8"/>
        <rFont val="Times New Roman"/>
        <family val="1"/>
      </rPr>
      <t>Includes blends with cement kiln dust (CKD), silica fume, other pozzolans, and blends containing multiple pozzolans.</t>
    </r>
  </si>
  <si>
    <r>
      <rPr>
        <vertAlign val="superscript"/>
        <sz val="8"/>
        <rFont val="Times New Roman"/>
        <family val="1"/>
      </rPr>
      <t>9</t>
    </r>
    <r>
      <rPr>
        <sz val="8"/>
        <rFont val="Times New Roman"/>
        <family val="1"/>
      </rPr>
      <t>Data are thought to be underreported in 2022.</t>
    </r>
  </si>
  <si>
    <r>
      <rPr>
        <vertAlign val="superscript"/>
        <sz val="8"/>
        <rFont val="Times New Roman"/>
        <family val="1"/>
      </rPr>
      <t>7</t>
    </r>
    <r>
      <rPr>
        <sz val="8"/>
        <rFont val="Times New Roman"/>
        <family val="1"/>
      </rPr>
      <t>Data may not add to totals shown because of independent rounding.</t>
    </r>
  </si>
  <si>
    <r>
      <t>Grand total</t>
    </r>
    <r>
      <rPr>
        <vertAlign val="superscript"/>
        <sz val="8"/>
        <rFont val="Times New Roman"/>
        <family val="1"/>
      </rPr>
      <t>4, 7</t>
    </r>
  </si>
  <si>
    <r>
      <t>Total</t>
    </r>
    <r>
      <rPr>
        <vertAlign val="superscript"/>
        <sz val="8"/>
        <rFont val="Times New Roman"/>
        <family val="1"/>
      </rPr>
      <t>4, 7</t>
    </r>
  </si>
  <si>
    <r>
      <rPr>
        <vertAlign val="superscript"/>
        <sz val="8"/>
        <rFont val="Times New Roman"/>
        <family val="1"/>
      </rPr>
      <t>3</t>
    </r>
    <r>
      <rPr>
        <sz val="8"/>
        <rFont val="Times New Roman"/>
        <family val="1"/>
      </rPr>
      <t>Cost, insurance, and freight (c.i.f.). The value represents the customs value plus insurance, freight, and other delivery charges to the first port of entry, but excludes costs of offloading, other U.S. port handling charges, and demurrage.</t>
    </r>
  </si>
  <si>
    <r>
      <t>3</t>
    </r>
    <r>
      <rPr>
        <sz val="8"/>
        <rFont val="Times New Roman"/>
        <family val="1"/>
      </rPr>
      <t>Cost, insurance, and freight (c.i.f.). The value represents the customs value plus insurance, freight, and other delivery charges to the first port of entry, but excludes costs of offloading, other U.S. port handling charges, and demurrage.</t>
    </r>
  </si>
  <si>
    <r>
      <t>World production</t>
    </r>
    <r>
      <rPr>
        <vertAlign val="superscript"/>
        <sz val="8"/>
        <rFont val="Times New Roman"/>
        <family val="1"/>
      </rPr>
      <t>10, 11</t>
    </r>
  </si>
  <si>
    <r>
      <t>r</t>
    </r>
    <r>
      <rPr>
        <sz val="8"/>
        <rFont val="Times New Roman"/>
        <family val="1"/>
      </rPr>
      <t>Revised.</t>
    </r>
  </si>
  <si>
    <r>
      <t>1</t>
    </r>
    <r>
      <rPr>
        <sz val="8"/>
        <rFont val="Times New Roman"/>
        <family val="1"/>
      </rPr>
      <t>Table includes data available through March 18, 2025.</t>
    </r>
    <r>
      <rPr>
        <vertAlign val="superscript"/>
        <sz val="8"/>
        <rFont val="Times New Roman"/>
        <family val="1"/>
      </rPr>
      <t xml:space="preserve"> </t>
    </r>
    <r>
      <rPr>
        <sz val="8"/>
        <rFont val="Times New Roman"/>
        <family val="1"/>
      </rPr>
      <t xml:space="preserve">Unless otherwise indicated, data are for portland (including blended) and masonry cements only. Even where presented unrounded, data are thought to be accurate to no more than three significant digits. </t>
    </r>
  </si>
  <si>
    <r>
      <rPr>
        <vertAlign val="superscript"/>
        <sz val="8"/>
        <color theme="1"/>
        <rFont val="Times New Roman"/>
        <family val="1"/>
      </rPr>
      <t>1</t>
    </r>
    <r>
      <rPr>
        <sz val="8"/>
        <rFont val="Times New Roman"/>
        <family val="1"/>
      </rPr>
      <t>Table includes data available through March 18, 2025. Even where presented unrounded, data are thought to be accurate to no more than three significant digits. Includes data for white cement. Includes cement made from imported clinker.</t>
    </r>
  </si>
  <si>
    <t>r, 7</t>
  </si>
  <si>
    <r>
      <rPr>
        <vertAlign val="superscript"/>
        <sz val="8"/>
        <color theme="1"/>
        <rFont val="Times New Roman"/>
        <family val="1"/>
      </rPr>
      <t>r</t>
    </r>
    <r>
      <rPr>
        <sz val="8"/>
        <color theme="1"/>
        <rFont val="Times New Roman"/>
        <family val="2"/>
      </rPr>
      <t>Revised. -- Zero.</t>
    </r>
  </si>
  <si>
    <r>
      <rPr>
        <vertAlign val="superscript"/>
        <sz val="8"/>
        <color theme="1"/>
        <rFont val="Times New Roman"/>
        <family val="1"/>
      </rPr>
      <t>1</t>
    </r>
    <r>
      <rPr>
        <sz val="8"/>
        <rFont val="Times New Roman"/>
        <family val="1"/>
      </rPr>
      <t>Table includes data available through March 18, 2025.</t>
    </r>
    <r>
      <rPr>
        <vertAlign val="superscript"/>
        <sz val="8"/>
        <rFont val="Times New Roman"/>
        <family val="1"/>
      </rPr>
      <t xml:space="preserve">  </t>
    </r>
    <r>
      <rPr>
        <sz val="8"/>
        <rFont val="Times New Roman"/>
        <family val="1"/>
      </rPr>
      <t>Even where presented unrounded, data are thought to be accurate to no more than three significant digits. Includes masonry, mortar, portland-lime, plastic, and stucco cements.</t>
    </r>
  </si>
  <si>
    <r>
      <rPr>
        <vertAlign val="superscript"/>
        <sz val="8"/>
        <color theme="1"/>
        <rFont val="Times New Roman"/>
        <family val="1"/>
      </rPr>
      <t>1</t>
    </r>
    <r>
      <rPr>
        <sz val="8"/>
        <rFont val="Times New Roman"/>
        <family val="1"/>
      </rPr>
      <t>Table includes data available through March 18, 2025. Even where presented unrounded, data are thought to be accurate to no more than three significant digits.</t>
    </r>
  </si>
  <si>
    <r>
      <t>1</t>
    </r>
    <r>
      <rPr>
        <sz val="8"/>
        <rFont val="Times New Roman"/>
        <family val="1"/>
      </rPr>
      <t>Table includes data available through March 18, 2025. Even where presented unrounded, data are thought to be accurate to no more than three significant digits.</t>
    </r>
  </si>
  <si>
    <r>
      <t>1</t>
    </r>
    <r>
      <rPr>
        <sz val="8"/>
        <rFont val="Times New Roman"/>
        <family val="1"/>
      </rPr>
      <t>Table includes data available through March 18, 2025. Even where presented unrounded, data are thought to be accurate to no more than three significant digits. Includes cement produced from imported clinker and imported cement shipped by domestic producers and importers.</t>
    </r>
  </si>
  <si>
    <r>
      <t>1</t>
    </r>
    <r>
      <rPr>
        <sz val="8"/>
        <rFont val="Times New Roman"/>
        <family val="1"/>
      </rPr>
      <t>Table includes data available through March 18, 2025.</t>
    </r>
  </si>
  <si>
    <r>
      <t>1</t>
    </r>
    <r>
      <rPr>
        <sz val="8"/>
        <rFont val="Times New Roman"/>
        <family val="1"/>
      </rPr>
      <t xml:space="preserve">Table includes data available through March 18, 2025. Even where presented unrounded, data are thought to be accurate to no more than three significant digits. Includes gray and white portland cement. Includes cement made from imported clinker. </t>
    </r>
  </si>
  <si>
    <r>
      <rPr>
        <vertAlign val="superscript"/>
        <sz val="8"/>
        <rFont val="Times New Roman"/>
        <family val="1"/>
      </rPr>
      <t>r</t>
    </r>
    <r>
      <rPr>
        <sz val="8"/>
        <rFont val="Times New Roman"/>
        <family val="1"/>
      </rPr>
      <t>Revised. W Withheld to avoid disclosing company proprietary data.</t>
    </r>
  </si>
  <si>
    <t>r, 6</t>
  </si>
  <si>
    <r>
      <t>1</t>
    </r>
    <r>
      <rPr>
        <sz val="8"/>
        <rFont val="Times New Roman"/>
        <family val="1"/>
      </rPr>
      <t>Table includes data available through March 18, 2025. Even where presented unrounded, data are thought to be accurate to no more than three significant digits. Shipments are those by cement companies to final customers and include imported cement and cement made from imported clinker. Excludes sales of masonry cement by portland cement final customers who made masonry cement from purchased portland cement.</t>
    </r>
  </si>
  <si>
    <r>
      <rPr>
        <vertAlign val="superscript"/>
        <sz val="8"/>
        <rFont val="Times New Roman"/>
        <family val="1"/>
      </rPr>
      <t>1</t>
    </r>
    <r>
      <rPr>
        <sz val="8"/>
        <rFont val="Times New Roman"/>
        <family val="1"/>
      </rPr>
      <t xml:space="preserve">Table includes data available through March 18, 2025. Values are average of sales to final customers, free on board the plant or independently reporting terminal. Values include any bagging charges, but exclude delivery charges to customers or to external terminals. Data exclude Puerto Rico. </t>
    </r>
  </si>
  <si>
    <r>
      <rPr>
        <vertAlign val="superscript"/>
        <sz val="8"/>
        <rFont val="Times New Roman"/>
        <family val="1"/>
      </rPr>
      <t>1</t>
    </r>
    <r>
      <rPr>
        <sz val="8"/>
        <rFont val="Times New Roman"/>
        <family val="1"/>
      </rPr>
      <t>Table includes data available through March 18, 2024. Except for district totals, data have been rounded to three significant digits, but are likely accurate to only two significant digits. District totals are likely accurate to no more than three significant digits. Includes imported cement and cement made from imported clinker.</t>
    </r>
  </si>
  <si>
    <r>
      <t>1</t>
    </r>
    <r>
      <rPr>
        <sz val="8"/>
        <rFont val="Times New Roman"/>
        <family val="1"/>
      </rPr>
      <t>Table includes data available through March 18, 2025. Includes sales of imported cement. Excludes Puerto Rico.</t>
    </r>
  </si>
  <si>
    <t xml:space="preserve">XX Not applicable.  -- Zero.   </t>
  </si>
  <si>
    <r>
      <t>Texas, southern</t>
    </r>
    <r>
      <rPr>
        <vertAlign val="superscript"/>
        <sz val="8"/>
        <rFont val="Times New Roman"/>
        <family val="1"/>
      </rPr>
      <t>8</t>
    </r>
  </si>
  <si>
    <r>
      <rPr>
        <vertAlign val="superscript"/>
        <sz val="8"/>
        <color theme="1"/>
        <rFont val="Times New Roman"/>
        <family val="1"/>
      </rPr>
      <t>r</t>
    </r>
    <r>
      <rPr>
        <sz val="8"/>
        <color theme="1"/>
        <rFont val="Times New Roman"/>
        <family val="2"/>
      </rPr>
      <t>Revised. W Withheld to avoid disclosing company proprietary data; included in “Total.”  -- Zero.</t>
    </r>
  </si>
  <si>
    <r>
      <t>Total</t>
    </r>
    <r>
      <rPr>
        <vertAlign val="superscript"/>
        <sz val="8"/>
        <rFont val="Times New Roman"/>
        <family val="1"/>
      </rPr>
      <t>7</t>
    </r>
  </si>
  <si>
    <r>
      <t>4</t>
    </r>
    <r>
      <rPr>
        <sz val="8"/>
        <rFont val="Times New Roman"/>
        <family val="1"/>
      </rPr>
      <t>Values of less than $125.00 (c.i.f.) per metric ton likely indicate the mistaken total or partial inclusion of data for gray portland or similar cement or clinker. This error happens when the importer records the wrong tariff number with the U.S. Customs and Border Protection. Values that exceed $250 per ton likely indicate misidentified specialty cement, not white cement.</t>
    </r>
  </si>
  <si>
    <t>8, 9</t>
  </si>
  <si>
    <r>
      <t>8</t>
    </r>
    <r>
      <rPr>
        <sz val="8"/>
        <rFont val="Times New Roman"/>
        <family val="1"/>
      </rPr>
      <t>Plants that did not produce clinker but ground clinker from outside sources. Excludes plants that only made masonry cement or just reground one type of portland cement into another, or which reported a substantial component of grinding of excess granulated blast furnace slag. Excludes two plants that were reported under “Dry” as noted in footnote 6.</t>
    </r>
  </si>
  <si>
    <r>
      <t>9</t>
    </r>
    <r>
      <rPr>
        <sz val="8"/>
        <rFont val="Times New Roman"/>
        <family val="1"/>
      </rPr>
      <t>Includes estimates for nonrespondents or facilities that provided incomplete information; data have been rounded to three significant digits.</t>
    </r>
  </si>
  <si>
    <r>
      <t>8</t>
    </r>
    <r>
      <rPr>
        <sz val="8"/>
        <rFont val="Times New Roman"/>
        <family val="1"/>
      </rPr>
      <t>Includes pipe—1,040; precast and prestressed—4,210; brick and block—4,220; and other or unspecified—2,670.</t>
    </r>
  </si>
  <si>
    <t>Maine, New York, Pennsylvania</t>
  </si>
  <si>
    <r>
      <t>6</t>
    </r>
    <r>
      <rPr>
        <sz val="8"/>
        <rFont val="Times New Roman"/>
        <family val="1"/>
      </rPr>
      <t>Data are underreported with respect to clinker from Canada and cement from Mexico owing to additional material coming in as “informal entries.”</t>
    </r>
  </si>
  <si>
    <r>
      <t>Grand total</t>
    </r>
    <r>
      <rPr>
        <vertAlign val="superscript"/>
        <sz val="8"/>
        <color indexed="8"/>
        <rFont val="Times New Roman"/>
        <family val="1"/>
      </rPr>
      <t>4, 6</t>
    </r>
  </si>
  <si>
    <r>
      <t>U.S. total</t>
    </r>
    <r>
      <rPr>
        <vertAlign val="superscript"/>
        <sz val="8"/>
        <color indexed="8"/>
        <rFont val="Times New Roman"/>
        <family val="1"/>
      </rPr>
      <t>4, 6</t>
    </r>
  </si>
  <si>
    <t>Advance Data Release of the</t>
  </si>
  <si>
    <t>2023 Annual Tables</t>
  </si>
  <si>
    <t>These tables are an advance data release of those to be incorporated in the USGS</t>
  </si>
  <si>
    <t xml:space="preserve"> Minerals Yearbook 2023,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</si>
  <si>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</si>
  <si>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</si>
  <si>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</si>
  <si>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June 5, 2025</t>
  </si>
  <si>
    <t>Hydraulic cement</t>
  </si>
  <si>
    <t>Commodity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</si>
</sst>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quot;$&quot;* #,##0.00_);_(&quot;$&quot;* \(#,##0.00\);_(&quot;$&quot;* &quot;-&quot;??_);_(@_)"/>
    <numFmt numFmtId="165" formatCode="_(* #,##0.00_);_(* \(#,##0.00\);_(* &quot;-&quot;??_);_(@_)"/>
    <numFmt numFmtId="166" formatCode="#,##0.0"/>
    <numFmt numFmtId="167" formatCode="\$#,##0.00"/>
    <numFmt numFmtId="168" formatCode="&quot;$&quot;#,##0.00"/>
    <numFmt numFmtId="169" formatCode="&quot;$&quot;#,##0"/>
    <numFmt numFmtId="170" formatCode="0.0%"/>
    <numFmt numFmtId="171" formatCode="0.0"/>
    <numFmt numFmtId="172" formatCode="#,###"/>
    <numFmt numFmtId="173" formatCode="#,##0.000"/>
  </numFmts>
  <fonts count="51">
    <font>
      <sz val="11"/>
      <color theme="1"/>
      <name val="Times New Roman"/>
      <family val="2"/>
    </font>
    <font>
      <sz val="11"/>
      <color theme="1"/>
      <name val="Calibri"/>
      <family val="2"/>
      <scheme val="minor"/>
    </font>
    <font>
      <sz val="8"/>
      <color theme="1"/>
      <name val="Times New Roman"/>
      <family val="2"/>
    </font>
    <font>
      <sz val="8"/>
      <color theme="1"/>
      <name val="Times New Roman"/>
      <family val="2"/>
    </font>
    <font>
      <sz val="8"/>
      <color theme="1"/>
      <name val="Times New Roman"/>
      <family val="2"/>
    </font>
    <font>
      <sz val="8"/>
      <color theme="1"/>
      <name val="Times New Roman"/>
      <family val="2"/>
    </font>
    <font>
      <sz val="11"/>
      <color theme="1"/>
      <name val="Calibri"/>
      <family val="2"/>
      <scheme val="minor"/>
    </font>
    <font>
      <sz val="8"/>
      <color theme="1"/>
      <name val="Times New Roman"/>
      <family val="2"/>
    </font>
    <font>
      <sz val="11"/>
      <color theme="1"/>
      <name val="Calibri"/>
      <family val="2"/>
      <scheme val="minor"/>
    </font>
    <font>
      <sz val="8"/>
      <color theme="1"/>
      <name val="Times New Roman"/>
      <family val="2"/>
    </font>
    <font>
      <vertAlign val="superscript"/>
      <sz val="8"/>
      <color theme="1"/>
      <name val="Times New Roman"/>
      <family val="2"/>
    </font>
    <font>
      <sz val="8"/>
      <name val="Times New Roman"/>
      <family val="1"/>
    </font>
    <font>
      <vertAlign val="superscript"/>
      <sz val="8"/>
      <name val="Times New Roman"/>
      <family val="1"/>
    </font>
    <font>
      <sz val="8"/>
      <color theme="1"/>
      <name val="Times New Roman"/>
      <family val="1"/>
    </font>
    <font>
      <vertAlign val="superscript"/>
      <sz val="8"/>
      <color theme="1"/>
      <name val="Times New Roman"/>
      <family val="1"/>
    </font>
    <font>
      <sz val="9"/>
      <name val="Times New Roman"/>
      <family val="1"/>
    </font>
    <font>
      <sz val="11"/>
      <color theme="1"/>
      <name val="Times New Roman"/>
      <family val="2"/>
    </font>
    <font>
      <vertAlign val="superscript"/>
      <sz val="9"/>
      <name val="Times New Roman"/>
      <family val="1"/>
    </font>
    <font>
      <sz val="8"/>
      <color rgb="FFFF0000"/>
      <name val="Times New Roman"/>
      <family val="1"/>
    </font>
    <font>
      <vertAlign val="superscript"/>
      <sz val="8"/>
      <color rgb="FFFF0000"/>
      <name val="Times New Roman"/>
      <family val="1"/>
    </font>
    <font>
      <sz val="10"/>
      <name val="Arial"/>
      <family val="2"/>
    </font>
    <font>
      <sz val="6"/>
      <color theme="1"/>
      <name val="Times New Roman"/>
      <family val="1"/>
    </font>
    <font>
      <sz val="8"/>
      <color indexed="10"/>
      <name val="Times New Roman"/>
      <family val="1"/>
    </font>
    <font>
      <sz val="11"/>
      <color theme="1"/>
      <name val="Times New Roman"/>
      <family val="1"/>
    </font>
    <font>
      <sz val="10"/>
      <name val="Times New Roman"/>
      <family val="1"/>
    </font>
    <font>
      <vertAlign val="superscript"/>
      <sz val="8"/>
      <color indexed="8"/>
      <name val="Times New Roman"/>
      <family val="1"/>
    </font>
    <font>
      <sz val="11"/>
      <color theme="1"/>
      <name val="Calibri"/>
      <family val="2"/>
      <scheme val="minor"/>
    </font>
    <font>
      <sz val="12"/>
      <name val="Arial"/>
      <family val="2"/>
    </font>
    <font>
      <sz val="12"/>
      <name val="Times New Roman"/>
      <family val="1"/>
    </font>
    <font>
      <sz val="8"/>
      <name val="Times"/>
    </font>
    <font>
      <sz val="8"/>
      <color theme="1"/>
      <name val="Times"/>
      <family val="2"/>
    </font>
    <font>
      <sz val="8"/>
      <name val="Book Antiqua"/>
      <family val="1"/>
    </font>
    <font>
      <sz val="12"/>
      <name val="SWISS"/>
    </font>
    <font>
      <sz val="11"/>
      <color rgb="FF000000"/>
      <name val="Arial"/>
      <family val="2"/>
    </font>
    <font>
      <sz val="8"/>
      <name val="Times"/>
      <family val="1"/>
    </font>
    <font>
      <sz val="11"/>
      <color indexed="8"/>
      <name val="Times New Roman"/>
      <family val="2"/>
    </font>
    <font>
      <b/>
      <sz val="8"/>
      <color theme="1"/>
      <name val="Times New Roman"/>
      <family val="1"/>
    </font>
    <font>
      <sz val="9"/>
      <color theme="1"/>
      <name val="Times New Roman"/>
      <family val="1"/>
    </font>
    <font>
      <vertAlign val="superscript"/>
      <sz val="9"/>
      <color theme="1"/>
      <name val="Times New Roman"/>
      <family val="1"/>
    </font>
    <font>
      <sz val="12"/>
      <color theme="1"/>
      <name val="Calibri"/>
      <family val="2"/>
      <scheme val="minor"/>
    </font>
    <font>
      <sz val="10"/>
      <color theme="1"/>
      <name val="Times New Roman"/>
      <family val="2"/>
    </font>
    <font>
      <sz val="8"/>
      <name val="Times New Roman"/>
      <family val="2"/>
    </font>
    <font>
      <sz val="8"/>
      <color rgb="FF000000"/>
      <name val="Times New Roman"/>
      <family val="1"/>
    </font>
    <font>
      <sz val="11"/>
      <name val="Times New Roman"/>
      <family val="1"/>
    </font>
    <font>
      <sz val="11"/>
      <color rgb="FFFF0000"/>
      <name val="Times New Roman"/>
      <family val="2"/>
    </font>
    <font>
      <sz val="6"/>
      <name val="Times New Roman"/>
      <family val="1"/>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3">
    <fill>
      <patternFill patternType="none"/>
    </fill>
    <fill>
      <patternFill patternType="gray125"/>
    </fill>
    <fill>
      <patternFill patternType="solid">
        <fgColor rgb="FFFFFFCC"/>
        <bgColor indexed="64"/>
      </patternFill>
    </fill>
  </fills>
  <borders count="81">
    <border>
      <left/>
      <right/>
      <top/>
      <bottom/>
      <diagonal/>
    </border>
    <border>
      <left/>
      <right/>
      <top style="hair">
        <color indexed="64"/>
      </top>
      <bottom/>
      <diagonal/>
    </border>
    <border>
      <left/>
      <right/>
      <top/>
      <bottom style="thin">
        <color indexed="64"/>
      </bottom>
      <diagonal/>
    </border>
    <border>
      <left/>
      <right/>
      <top/>
      <bottom style="hair">
        <color indexed="8"/>
      </bottom>
      <diagonal/>
    </border>
    <border>
      <left/>
      <right/>
      <top style="hair">
        <color indexed="8"/>
      </top>
      <bottom/>
      <diagonal/>
    </border>
    <border>
      <left/>
      <right/>
      <top style="hair">
        <color indexed="8"/>
      </top>
      <bottom style="hair">
        <color indexed="8"/>
      </bottom>
      <diagonal/>
    </border>
    <border>
      <left/>
      <right/>
      <top style="thin">
        <color indexed="64"/>
      </top>
      <bottom style="hair">
        <color indexed="64"/>
      </bottom>
      <diagonal/>
    </border>
    <border>
      <left/>
      <right/>
      <top/>
      <bottom style="hair">
        <color indexed="8"/>
      </bottom>
      <diagonal/>
    </border>
    <border>
      <left/>
      <right/>
      <top/>
      <bottom style="hair">
        <color indexed="64"/>
      </bottom>
      <diagonal/>
    </border>
    <border>
      <left/>
      <right/>
      <top style="hair">
        <color indexed="64"/>
      </top>
      <bottom style="hair">
        <color indexed="8"/>
      </bottom>
      <diagonal/>
    </border>
    <border>
      <left/>
      <right/>
      <top style="thin">
        <color indexed="64"/>
      </top>
      <bottom/>
      <diagonal/>
    </border>
    <border>
      <left/>
      <right/>
      <top style="hair">
        <color indexed="8"/>
      </top>
      <bottom style="hair">
        <color indexed="64"/>
      </bottom>
      <diagonal/>
    </border>
    <border>
      <left/>
      <right/>
      <top style="thin">
        <color indexed="64"/>
      </top>
      <bottom style="thin">
        <color indexed="64"/>
      </bottom>
      <diagonal/>
    </border>
    <border>
      <left/>
      <right/>
      <top style="hair">
        <color indexed="64"/>
      </top>
      <bottom/>
      <diagonal/>
    </border>
    <border>
      <left/>
      <right/>
      <top/>
      <bottom style="thin">
        <color indexed="64"/>
      </bottom>
      <diagonal/>
    </border>
    <border>
      <left/>
      <right/>
      <top/>
      <bottom style="hair">
        <color auto="1"/>
      </bottom>
      <diagonal/>
    </border>
    <border>
      <left/>
      <right/>
      <top/>
      <bottom style="hair">
        <color indexed="8"/>
      </bottom>
      <diagonal/>
    </border>
    <border>
      <left/>
      <right/>
      <top/>
      <bottom style="hair">
        <color indexed="64"/>
      </bottom>
      <diagonal/>
    </border>
    <border>
      <left/>
      <right/>
      <top/>
      <bottom style="hair">
        <color auto="1"/>
      </bottom>
      <diagonal/>
    </border>
    <border>
      <left/>
      <right/>
      <top style="hair">
        <color auto="1"/>
      </top>
      <bottom style="hair">
        <color indexed="64"/>
      </bottom>
      <diagonal/>
    </border>
    <border>
      <left/>
      <right/>
      <top style="hair">
        <color indexed="8"/>
      </top>
      <bottom style="hair">
        <color indexed="8"/>
      </bottom>
      <diagonal/>
    </border>
    <border>
      <left/>
      <right/>
      <top style="hair">
        <color auto="1"/>
      </top>
      <bottom style="thin">
        <color indexed="64"/>
      </bottom>
      <diagonal/>
    </border>
    <border>
      <left/>
      <right/>
      <top/>
      <bottom style="hair">
        <color indexed="64"/>
      </bottom>
      <diagonal/>
    </border>
    <border>
      <left/>
      <right/>
      <top style="hair">
        <color auto="1"/>
      </top>
      <bottom style="hair">
        <color auto="1"/>
      </bottom>
      <diagonal/>
    </border>
    <border>
      <left/>
      <right/>
      <top/>
      <bottom style="hair">
        <color auto="1"/>
      </bottom>
      <diagonal/>
    </border>
    <border>
      <left/>
      <right/>
      <top style="hair">
        <color indexed="8"/>
      </top>
      <bottom/>
      <diagonal/>
    </border>
    <border>
      <left/>
      <right/>
      <top style="hair">
        <color auto="1"/>
      </top>
      <bottom/>
      <diagonal/>
    </border>
    <border>
      <left/>
      <right/>
      <top style="hair">
        <color indexed="8"/>
      </top>
      <bottom style="hair">
        <color auto="1"/>
      </bottom>
      <diagonal/>
    </border>
    <border>
      <left/>
      <right/>
      <top/>
      <bottom style="hair">
        <color auto="1"/>
      </bottom>
      <diagonal/>
    </border>
    <border>
      <left/>
      <right/>
      <top/>
      <bottom style="hair">
        <color auto="1"/>
      </bottom>
      <diagonal/>
    </border>
    <border>
      <left/>
      <right/>
      <top/>
      <bottom style="hair">
        <color auto="1"/>
      </bottom>
      <diagonal/>
    </border>
    <border>
      <left/>
      <right/>
      <top style="hair">
        <color auto="1"/>
      </top>
      <bottom style="hair">
        <color indexed="8"/>
      </bottom>
      <diagonal/>
    </border>
    <border>
      <left/>
      <right/>
      <top/>
      <bottom style="hair">
        <color indexed="8"/>
      </bottom>
      <diagonal/>
    </border>
    <border>
      <left/>
      <right/>
      <top/>
      <bottom style="hair">
        <color auto="1"/>
      </bottom>
      <diagonal/>
    </border>
    <border>
      <left/>
      <right/>
      <top/>
      <bottom style="hair">
        <color auto="1"/>
      </bottom>
      <diagonal/>
    </border>
    <border>
      <left/>
      <right/>
      <top/>
      <bottom style="hair">
        <color auto="1"/>
      </bottom>
      <diagonal/>
    </border>
    <border>
      <left/>
      <right/>
      <top/>
      <bottom style="hair">
        <color auto="1"/>
      </bottom>
      <diagonal/>
    </border>
    <border>
      <left/>
      <right/>
      <top/>
      <bottom style="thin">
        <color auto="1"/>
      </bottom>
      <diagonal/>
    </border>
    <border>
      <left/>
      <right/>
      <top style="hair">
        <color indexed="8"/>
      </top>
      <bottom style="hair">
        <color indexed="8"/>
      </bottom>
      <diagonal/>
    </border>
    <border>
      <left/>
      <right/>
      <top style="hair">
        <color indexed="64"/>
      </top>
      <bottom style="hair">
        <color indexed="64"/>
      </bottom>
      <diagonal/>
    </border>
    <border>
      <left/>
      <right/>
      <top/>
      <bottom style="hair">
        <color auto="1"/>
      </bottom>
      <diagonal/>
    </border>
    <border>
      <left/>
      <right/>
      <top/>
      <bottom style="hair">
        <color auto="1"/>
      </bottom>
      <diagonal/>
    </border>
    <border>
      <left/>
      <right/>
      <top/>
      <bottom style="hair">
        <color auto="1"/>
      </bottom>
      <diagonal/>
    </border>
    <border>
      <left/>
      <right/>
      <top/>
      <bottom style="thin">
        <color auto="1"/>
      </bottom>
      <diagonal/>
    </border>
    <border>
      <left/>
      <right/>
      <top/>
      <bottom style="hair">
        <color indexed="64"/>
      </bottom>
      <diagonal/>
    </border>
    <border>
      <left/>
      <right/>
      <top style="hair">
        <color auto="1"/>
      </top>
      <bottom style="hair">
        <color indexed="64"/>
      </bottom>
      <diagonal/>
    </border>
    <border>
      <left/>
      <right/>
      <top style="hair">
        <color indexed="8"/>
      </top>
      <bottom style="hair">
        <color indexed="8"/>
      </bottom>
      <diagonal/>
    </border>
    <border>
      <left/>
      <right/>
      <top/>
      <bottom style="hair">
        <color indexed="64"/>
      </bottom>
      <diagonal/>
    </border>
    <border>
      <left/>
      <right/>
      <top style="hair">
        <color auto="1"/>
      </top>
      <bottom style="hair">
        <color indexed="64"/>
      </bottom>
      <diagonal/>
    </border>
    <border>
      <left/>
      <right/>
      <top style="hair">
        <color auto="1"/>
      </top>
      <bottom style="hair">
        <color indexed="64"/>
      </bottom>
      <diagonal/>
    </border>
    <border>
      <left/>
      <right/>
      <top style="hair">
        <color auto="1"/>
      </top>
      <bottom style="thin">
        <color auto="1"/>
      </bottom>
      <diagonal/>
    </border>
    <border>
      <left/>
      <right/>
      <top style="hair">
        <color auto="1"/>
      </top>
      <bottom/>
      <diagonal/>
    </border>
    <border>
      <left/>
      <right/>
      <top style="hair">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style="hair">
        <color auto="1"/>
      </top>
      <bottom style="thin">
        <color auto="1"/>
      </bottom>
      <diagonal/>
    </border>
    <border>
      <left/>
      <right/>
      <top style="hair">
        <color auto="1"/>
      </top>
      <bottom/>
      <diagonal/>
    </border>
    <border>
      <left/>
      <right/>
      <top style="hair">
        <color auto="1"/>
      </top>
      <bottom style="hair">
        <color auto="1"/>
      </bottom>
      <diagonal/>
    </border>
    <border>
      <left/>
      <right/>
      <top style="hair">
        <color auto="1"/>
      </top>
      <bottom/>
      <diagonal/>
    </border>
    <border>
      <left/>
      <right/>
      <top style="hair">
        <color auto="1"/>
      </top>
      <bottom style="thin">
        <color auto="1"/>
      </bottom>
      <diagonal/>
    </border>
    <border>
      <left/>
      <right/>
      <top style="hair">
        <color auto="1"/>
      </top>
      <bottom style="hair">
        <color auto="1"/>
      </bottom>
      <diagonal/>
    </border>
    <border>
      <left/>
      <right/>
      <top style="hair">
        <color auto="1"/>
      </top>
      <bottom/>
      <diagonal/>
    </border>
    <border>
      <left/>
      <right/>
      <top style="hair">
        <color auto="1"/>
      </top>
      <bottom/>
      <diagonal/>
    </border>
    <border>
      <left/>
      <right/>
      <top style="hair">
        <color auto="1"/>
      </top>
      <bottom/>
      <diagonal/>
    </border>
    <border>
      <left/>
      <right/>
      <top style="hair">
        <color auto="1"/>
      </top>
      <bottom style="hair">
        <color indexed="64"/>
      </bottom>
      <diagonal/>
    </border>
    <border>
      <left/>
      <right/>
      <top style="hair">
        <color auto="1"/>
      </top>
      <bottom style="thin">
        <color indexed="64"/>
      </bottom>
      <diagonal/>
    </border>
    <border>
      <left/>
      <right/>
      <top style="hair">
        <color auto="1"/>
      </top>
      <bottom style="hair">
        <color auto="1"/>
      </bottom>
      <diagonal/>
    </border>
    <border>
      <left/>
      <right/>
      <top style="hair">
        <color auto="1"/>
      </top>
      <bottom style="thin">
        <color indexed="64"/>
      </bottom>
      <diagonal/>
    </border>
    <border>
      <left/>
      <right/>
      <top style="hair">
        <color auto="1"/>
      </top>
      <bottom style="hair">
        <color auto="1"/>
      </bottom>
      <diagonal/>
    </border>
    <border>
      <left/>
      <right/>
      <top style="hair">
        <color auto="1"/>
      </top>
      <bottom/>
      <diagonal/>
    </border>
    <border>
      <left/>
      <right/>
      <top style="hair">
        <color auto="1"/>
      </top>
      <bottom style="thin">
        <color auto="1"/>
      </bottom>
      <diagonal/>
    </border>
    <border>
      <left/>
      <right/>
      <top style="hair">
        <color auto="1"/>
      </top>
      <bottom/>
      <diagonal/>
    </border>
    <border>
      <left/>
      <right/>
      <top style="hair">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6">
    <xf numFmtId="0" fontId="0" fillId="0" borderId="0"/>
    <xf numFmtId="37" fontId="11" fillId="0" borderId="0"/>
    <xf numFmtId="165" fontId="16" fillId="0" borderId="0" applyFont="0" applyFill="0" applyBorder="0" applyAlignment="0" applyProtection="0"/>
    <xf numFmtId="9" fontId="16" fillId="0" borderId="0" applyFont="0" applyFill="0" applyBorder="0" applyAlignment="0" applyProtection="0"/>
    <xf numFmtId="37" fontId="11" fillId="0" borderId="0"/>
    <xf numFmtId="37" fontId="11" fillId="0" borderId="0"/>
    <xf numFmtId="37" fontId="11" fillId="0" borderId="0"/>
    <xf numFmtId="0" fontId="11" fillId="0" borderId="0"/>
    <xf numFmtId="37" fontId="11" fillId="0" borderId="0"/>
    <xf numFmtId="37" fontId="11" fillId="0" borderId="0"/>
    <xf numFmtId="0" fontId="11" fillId="0" borderId="0"/>
    <xf numFmtId="0" fontId="20" fillId="0" borderId="0"/>
    <xf numFmtId="37" fontId="11" fillId="0" borderId="0"/>
    <xf numFmtId="37" fontId="11" fillId="0" borderId="0"/>
    <xf numFmtId="37" fontId="11" fillId="0" borderId="0"/>
    <xf numFmtId="0" fontId="11" fillId="0" borderId="0"/>
    <xf numFmtId="37" fontId="11" fillId="0" borderId="0"/>
    <xf numFmtId="0" fontId="11" fillId="0" borderId="0"/>
    <xf numFmtId="37" fontId="11" fillId="0" borderId="0"/>
    <xf numFmtId="37" fontId="11" fillId="0" borderId="0"/>
    <xf numFmtId="165" fontId="20" fillId="0" borderId="0" applyFont="0" applyFill="0" applyBorder="0" applyAlignment="0" applyProtection="0"/>
    <xf numFmtId="37" fontId="11" fillId="0" borderId="0"/>
    <xf numFmtId="0" fontId="20" fillId="0" borderId="0"/>
    <xf numFmtId="0" fontId="20" fillId="0" borderId="0"/>
    <xf numFmtId="37" fontId="11" fillId="0" borderId="0"/>
    <xf numFmtId="37" fontId="11" fillId="0" borderId="0"/>
    <xf numFmtId="37" fontId="11" fillId="0" borderId="0"/>
    <xf numFmtId="0" fontId="20" fillId="0" borderId="0"/>
    <xf numFmtId="0" fontId="26" fillId="0" borderId="0"/>
    <xf numFmtId="0" fontId="26" fillId="0" borderId="0"/>
    <xf numFmtId="0" fontId="20" fillId="0" borderId="0"/>
    <xf numFmtId="0" fontId="11" fillId="0" borderId="0" applyAlignment="0"/>
    <xf numFmtId="0" fontId="20" fillId="0" borderId="0"/>
    <xf numFmtId="0" fontId="20" fillId="0" borderId="0"/>
    <xf numFmtId="0" fontId="27" fillId="0" borderId="0"/>
    <xf numFmtId="37" fontId="27" fillId="0" borderId="0"/>
    <xf numFmtId="0" fontId="28" fillId="0" borderId="0"/>
    <xf numFmtId="0" fontId="29" fillId="0" borderId="0"/>
    <xf numFmtId="0" fontId="26" fillId="0" borderId="0"/>
    <xf numFmtId="0" fontId="27" fillId="0" borderId="0"/>
    <xf numFmtId="0" fontId="30" fillId="0" borderId="0"/>
    <xf numFmtId="0" fontId="27" fillId="0" borderId="0"/>
    <xf numFmtId="0" fontId="29" fillId="0" borderId="0"/>
    <xf numFmtId="0" fontId="20" fillId="0" borderId="0"/>
    <xf numFmtId="0" fontId="31" fillId="0" borderId="0"/>
    <xf numFmtId="0" fontId="27" fillId="0" borderId="0"/>
    <xf numFmtId="0" fontId="32" fillId="0" borderId="0"/>
    <xf numFmtId="165" fontId="24" fillId="0" borderId="0" applyFont="0" applyFill="0" applyBorder="0" applyAlignment="0" applyProtection="0"/>
    <xf numFmtId="165" fontId="11" fillId="0" borderId="0" applyFont="0" applyFill="0" applyBorder="0" applyAlignment="0" applyProtection="0"/>
    <xf numFmtId="0" fontId="33" fillId="0" borderId="0"/>
    <xf numFmtId="0" fontId="24" fillId="0" borderId="0"/>
    <xf numFmtId="165" fontId="34" fillId="0" borderId="0" applyFont="0" applyFill="0" applyBorder="0" applyAlignment="0" applyProtection="0"/>
    <xf numFmtId="0" fontId="34" fillId="0" borderId="0"/>
    <xf numFmtId="37" fontId="24" fillId="0" borderId="0"/>
    <xf numFmtId="165" fontId="35" fillId="0" borderId="0" applyFont="0" applyFill="0" applyBorder="0" applyAlignment="0" applyProtection="0"/>
    <xf numFmtId="0" fontId="16" fillId="0" borderId="0"/>
    <xf numFmtId="0" fontId="39" fillId="0" borderId="0"/>
    <xf numFmtId="0" fontId="40" fillId="0" borderId="0"/>
    <xf numFmtId="165" fontId="40" fillId="0" borderId="0" applyFont="0" applyFill="0" applyBorder="0" applyAlignment="0" applyProtection="0"/>
    <xf numFmtId="164" fontId="40" fillId="0" borderId="0" applyFont="0" applyFill="0" applyBorder="0" applyAlignment="0" applyProtection="0"/>
    <xf numFmtId="9" fontId="40" fillId="0" borderId="0" applyFont="0" applyFill="0" applyBorder="0" applyAlignment="0" applyProtection="0"/>
    <xf numFmtId="165" fontId="39" fillId="0" borderId="0" applyFont="0" applyFill="0" applyBorder="0" applyAlignment="0" applyProtection="0"/>
    <xf numFmtId="0" fontId="8" fillId="0" borderId="0"/>
    <xf numFmtId="0" fontId="6" fillId="0" borderId="0"/>
    <xf numFmtId="0" fontId="1" fillId="0" borderId="0"/>
    <xf numFmtId="0" fontId="11" fillId="0" borderId="0"/>
  </cellStyleXfs>
  <cellXfs count="852">
    <xf numFmtId="0" fontId="0" fillId="0" borderId="0" xfId="0"/>
    <xf numFmtId="0" fontId="9" fillId="0" borderId="0" xfId="0" applyFont="1"/>
    <xf numFmtId="3" fontId="9" fillId="0" borderId="0" xfId="0" applyNumberFormat="1" applyFont="1" applyAlignment="1">
      <alignment horizontal="right"/>
    </xf>
    <xf numFmtId="0" fontId="13" fillId="0" borderId="0" xfId="0" applyFont="1"/>
    <xf numFmtId="3" fontId="15" fillId="0" borderId="0" xfId="0" applyNumberFormat="1" applyFont="1"/>
    <xf numFmtId="3" fontId="11" fillId="0" borderId="0" xfId="0" applyNumberFormat="1" applyFont="1" applyAlignment="1">
      <alignment horizontal="right" vertical="center"/>
    </xf>
    <xf numFmtId="3" fontId="11" fillId="0" borderId="0" xfId="0" applyNumberFormat="1" applyFont="1" applyAlignment="1">
      <alignment vertical="center"/>
    </xf>
    <xf numFmtId="37" fontId="11" fillId="0" borderId="0" xfId="4" applyAlignment="1" applyProtection="1">
      <alignment vertical="center"/>
      <protection locked="0"/>
    </xf>
    <xf numFmtId="37" fontId="11" fillId="0" borderId="0" xfId="5" applyAlignment="1" applyProtection="1">
      <alignment vertical="center"/>
      <protection locked="0"/>
    </xf>
    <xf numFmtId="3" fontId="11" fillId="0" borderId="0" xfId="5" applyNumberFormat="1" applyAlignment="1" applyProtection="1">
      <alignment horizontal="right" vertical="center"/>
      <protection locked="0"/>
    </xf>
    <xf numFmtId="3" fontId="12" fillId="0" borderId="0" xfId="0" applyNumberFormat="1" applyFont="1" applyAlignment="1">
      <alignment vertical="center"/>
    </xf>
    <xf numFmtId="3" fontId="18" fillId="0" borderId="0" xfId="6" applyNumberFormat="1" applyFont="1" applyAlignment="1" applyProtection="1">
      <alignment horizontal="right" vertical="center"/>
      <protection locked="0"/>
    </xf>
    <xf numFmtId="3" fontId="19" fillId="0" borderId="0" xfId="0" applyNumberFormat="1" applyFont="1" applyAlignment="1">
      <alignment vertical="center"/>
    </xf>
    <xf numFmtId="1" fontId="18" fillId="0" borderId="0" xfId="6" applyNumberFormat="1" applyFont="1" applyAlignment="1" applyProtection="1">
      <alignment horizontal="left" vertical="center"/>
      <protection locked="0"/>
    </xf>
    <xf numFmtId="37" fontId="11" fillId="0" borderId="0" xfId="8" applyAlignment="1" applyProtection="1">
      <alignment vertical="center"/>
      <protection locked="0"/>
    </xf>
    <xf numFmtId="37" fontId="11" fillId="0" borderId="0" xfId="9" applyAlignment="1" applyProtection="1">
      <alignment vertical="center"/>
      <protection locked="0"/>
    </xf>
    <xf numFmtId="37" fontId="11" fillId="0" borderId="0" xfId="12" applyAlignment="1" applyProtection="1">
      <alignment vertical="center"/>
      <protection locked="0"/>
    </xf>
    <xf numFmtId="0" fontId="11" fillId="0" borderId="0" xfId="0" applyFont="1"/>
    <xf numFmtId="37" fontId="11" fillId="0" borderId="0" xfId="14" applyAlignment="1" applyProtection="1">
      <alignment vertical="center"/>
      <protection locked="0"/>
    </xf>
    <xf numFmtId="170" fontId="11" fillId="0" borderId="0" xfId="3" applyNumberFormat="1" applyFont="1" applyFill="1" applyAlignment="1">
      <alignment horizontal="right"/>
    </xf>
    <xf numFmtId="10" fontId="11" fillId="0" borderId="0" xfId="3" applyNumberFormat="1" applyFont="1" applyFill="1" applyAlignment="1">
      <alignment horizontal="right"/>
    </xf>
    <xf numFmtId="0" fontId="11" fillId="0" borderId="0" xfId="0" applyFont="1" applyAlignment="1">
      <alignment horizontal="left"/>
    </xf>
    <xf numFmtId="0" fontId="13" fillId="0" borderId="0" xfId="0" applyFont="1" applyAlignment="1">
      <alignment vertical="center"/>
    </xf>
    <xf numFmtId="37" fontId="11" fillId="0" borderId="0" xfId="16" applyAlignment="1" applyProtection="1">
      <alignment horizontal="left" vertical="center"/>
      <protection locked="0"/>
    </xf>
    <xf numFmtId="37" fontId="11" fillId="0" borderId="0" xfId="16" applyAlignment="1" applyProtection="1">
      <alignment vertical="center"/>
      <protection locked="0"/>
    </xf>
    <xf numFmtId="37" fontId="11" fillId="0" borderId="3" xfId="18" applyBorder="1" applyAlignment="1" applyProtection="1">
      <alignment vertical="center"/>
      <protection locked="0"/>
    </xf>
    <xf numFmtId="37" fontId="11" fillId="0" borderId="0" xfId="18" applyAlignment="1" applyProtection="1">
      <alignment vertical="center"/>
      <protection locked="0"/>
    </xf>
    <xf numFmtId="3" fontId="11" fillId="0" borderId="0" xfId="18" applyNumberFormat="1" applyAlignment="1" applyProtection="1">
      <alignment vertical="center"/>
      <protection locked="0"/>
    </xf>
    <xf numFmtId="3" fontId="13" fillId="0" borderId="0" xfId="0" applyNumberFormat="1" applyFont="1"/>
    <xf numFmtId="3" fontId="14" fillId="0" borderId="0" xfId="0" applyNumberFormat="1" applyFont="1" applyAlignment="1">
      <alignment horizontal="left"/>
    </xf>
    <xf numFmtId="0" fontId="14" fillId="0" borderId="0" xfId="0" applyFont="1" applyAlignment="1">
      <alignment horizontal="left"/>
    </xf>
    <xf numFmtId="0" fontId="11" fillId="0" borderId="0" xfId="22" applyFont="1"/>
    <xf numFmtId="37" fontId="11" fillId="0" borderId="0" xfId="21" applyAlignment="1" applyProtection="1">
      <alignment vertical="center"/>
      <protection locked="0"/>
    </xf>
    <xf numFmtId="3" fontId="11" fillId="0" borderId="0" xfId="23" applyNumberFormat="1" applyFont="1" applyAlignment="1">
      <alignment horizontal="left" vertical="center" indent="1"/>
    </xf>
    <xf numFmtId="3" fontId="11" fillId="0" borderId="0" xfId="23" applyNumberFormat="1" applyFont="1" applyAlignment="1">
      <alignment horizontal="right" vertical="center"/>
    </xf>
    <xf numFmtId="3" fontId="13" fillId="0" borderId="0" xfId="0" applyNumberFormat="1" applyFont="1" applyAlignment="1">
      <alignment horizontal="right" vertical="center"/>
    </xf>
    <xf numFmtId="37" fontId="11" fillId="0" borderId="0" xfId="21" applyAlignment="1" applyProtection="1">
      <alignment horizontal="left" vertical="center"/>
      <protection locked="0"/>
    </xf>
    <xf numFmtId="0" fontId="23" fillId="0" borderId="0" xfId="0" applyFont="1"/>
    <xf numFmtId="0" fontId="23" fillId="0" borderId="0" xfId="0" applyFont="1" applyAlignment="1">
      <alignment horizontal="center" vertical="center"/>
    </xf>
    <xf numFmtId="172" fontId="13" fillId="0" borderId="0" xfId="0" applyNumberFormat="1" applyFont="1"/>
    <xf numFmtId="3" fontId="11" fillId="0" borderId="0" xfId="22" applyNumberFormat="1" applyFont="1"/>
    <xf numFmtId="0" fontId="12" fillId="0" borderId="0" xfId="22" applyFont="1" applyAlignment="1">
      <alignment horizontal="left"/>
    </xf>
    <xf numFmtId="3" fontId="14" fillId="0" borderId="0" xfId="0" applyNumberFormat="1" applyFont="1" applyAlignment="1">
      <alignment horizontal="left" vertical="center"/>
    </xf>
    <xf numFmtId="3" fontId="14" fillId="0" borderId="6" xfId="0" applyNumberFormat="1" applyFont="1" applyBorder="1" applyAlignment="1">
      <alignment horizontal="left" vertical="center"/>
    </xf>
    <xf numFmtId="3" fontId="13" fillId="0" borderId="0" xfId="0" applyNumberFormat="1" applyFont="1" applyAlignment="1">
      <alignment horizontal="right"/>
    </xf>
    <xf numFmtId="0" fontId="36" fillId="0" borderId="0" xfId="0" applyFont="1"/>
    <xf numFmtId="3" fontId="13" fillId="0" borderId="0" xfId="0" quotePrefix="1" applyNumberFormat="1" applyFont="1" applyAlignment="1">
      <alignment horizontal="right"/>
    </xf>
    <xf numFmtId="0" fontId="12" fillId="0" borderId="0" xfId="0" applyFont="1" applyAlignment="1">
      <alignment horizontal="left" vertical="center"/>
    </xf>
    <xf numFmtId="0" fontId="11" fillId="0" borderId="0" xfId="0" applyFont="1" applyAlignment="1">
      <alignment vertical="center"/>
    </xf>
    <xf numFmtId="0" fontId="9" fillId="0" borderId="15" xfId="0" applyFont="1" applyBorder="1"/>
    <xf numFmtId="0" fontId="9" fillId="0" borderId="6" xfId="0" applyFont="1" applyBorder="1"/>
    <xf numFmtId="0" fontId="10" fillId="0" borderId="0" xfId="0" applyFont="1"/>
    <xf numFmtId="37" fontId="11" fillId="0" borderId="16" xfId="4" applyBorder="1" applyAlignment="1" applyProtection="1">
      <alignment vertical="center"/>
      <protection locked="0"/>
    </xf>
    <xf numFmtId="37" fontId="11" fillId="0" borderId="3" xfId="5" applyBorder="1" applyAlignment="1" applyProtection="1">
      <alignment vertical="center"/>
      <protection locked="0"/>
    </xf>
    <xf numFmtId="37" fontId="11" fillId="0" borderId="17" xfId="9" applyBorder="1" applyAlignment="1" applyProtection="1">
      <alignment vertical="center"/>
      <protection locked="0"/>
    </xf>
    <xf numFmtId="37" fontId="11" fillId="0" borderId="17" xfId="12" applyBorder="1" applyAlignment="1" applyProtection="1">
      <alignment vertical="center"/>
      <protection locked="0"/>
    </xf>
    <xf numFmtId="37" fontId="11" fillId="0" borderId="17" xfId="14" applyBorder="1" applyAlignment="1" applyProtection="1">
      <alignment vertical="center"/>
      <protection locked="0"/>
    </xf>
    <xf numFmtId="0" fontId="12" fillId="0" borderId="0" xfId="22" applyFont="1"/>
    <xf numFmtId="3" fontId="12" fillId="0" borderId="0" xfId="23" applyNumberFormat="1" applyFont="1" applyAlignment="1">
      <alignment horizontal="left" vertical="center"/>
    </xf>
    <xf numFmtId="3" fontId="12" fillId="0" borderId="0" xfId="22" applyNumberFormat="1" applyFont="1" applyAlignment="1">
      <alignment horizontal="left"/>
    </xf>
    <xf numFmtId="0" fontId="11" fillId="0" borderId="5" xfId="10" applyBorder="1" applyAlignment="1" applyProtection="1">
      <alignment horizontal="center" vertical="center"/>
      <protection locked="0"/>
    </xf>
    <xf numFmtId="49" fontId="21" fillId="0" borderId="0" xfId="0" quotePrefix="1" applyNumberFormat="1" applyFont="1" applyAlignment="1">
      <alignment horizontal="right" vertical="center"/>
    </xf>
    <xf numFmtId="3" fontId="14" fillId="0" borderId="0" xfId="0" quotePrefix="1" applyNumberFormat="1" applyFont="1" applyAlignment="1">
      <alignment horizontal="left"/>
    </xf>
    <xf numFmtId="0" fontId="14" fillId="0" borderId="0" xfId="22" applyFont="1" applyAlignment="1">
      <alignment horizontal="left"/>
    </xf>
    <xf numFmtId="3" fontId="13" fillId="0" borderId="0" xfId="0" applyNumberFormat="1" applyFont="1" applyAlignment="1">
      <alignment vertical="center"/>
    </xf>
    <xf numFmtId="3" fontId="13" fillId="0" borderId="21" xfId="0" applyNumberFormat="1" applyFont="1" applyBorder="1"/>
    <xf numFmtId="49" fontId="11" fillId="0" borderId="7" xfId="5" applyNumberFormat="1" applyBorder="1" applyAlignment="1" applyProtection="1">
      <alignment horizontal="left" vertical="center"/>
      <protection locked="0"/>
    </xf>
    <xf numFmtId="3" fontId="9" fillId="0" borderId="0" xfId="0" applyNumberFormat="1" applyFont="1"/>
    <xf numFmtId="37" fontId="11" fillId="0" borderId="0" xfId="16" applyAlignment="1" applyProtection="1">
      <alignment horizontal="right" vertical="top"/>
      <protection locked="0"/>
    </xf>
    <xf numFmtId="37" fontId="11" fillId="0" borderId="18" xfId="16" applyBorder="1" applyAlignment="1" applyProtection="1">
      <alignment vertical="center"/>
      <protection locked="0"/>
    </xf>
    <xf numFmtId="37" fontId="11" fillId="0" borderId="0" xfId="21" applyAlignment="1" applyProtection="1">
      <alignment horizontal="center" vertical="center"/>
      <protection locked="0"/>
    </xf>
    <xf numFmtId="3" fontId="11" fillId="0" borderId="0" xfId="20" quotePrefix="1" applyNumberFormat="1" applyFont="1" applyFill="1" applyBorder="1" applyAlignment="1" applyProtection="1">
      <alignment horizontal="right" vertical="center"/>
      <protection locked="0"/>
    </xf>
    <xf numFmtId="49" fontId="11" fillId="0" borderId="7" xfId="21" applyNumberFormat="1" applyBorder="1" applyAlignment="1" applyProtection="1">
      <alignment horizontal="center" vertical="center"/>
      <protection locked="0"/>
    </xf>
    <xf numFmtId="37" fontId="11" fillId="0" borderId="7" xfId="21" applyBorder="1" applyAlignment="1" applyProtection="1">
      <alignment horizontal="center" vertical="center"/>
      <protection locked="0"/>
    </xf>
    <xf numFmtId="49" fontId="11" fillId="0" borderId="20" xfId="23" applyNumberFormat="1" applyFont="1" applyBorder="1" applyAlignment="1">
      <alignment horizontal="left" vertical="center"/>
    </xf>
    <xf numFmtId="49" fontId="13" fillId="0" borderId="23" xfId="0" applyNumberFormat="1" applyFont="1" applyBorder="1" applyAlignment="1">
      <alignment horizontal="left" vertical="center" indent="1"/>
    </xf>
    <xf numFmtId="49" fontId="13" fillId="0" borderId="23" xfId="0" applyNumberFormat="1" applyFont="1" applyBorder="1" applyAlignment="1">
      <alignment horizontal="left" vertical="center"/>
    </xf>
    <xf numFmtId="3" fontId="13" fillId="0" borderId="21" xfId="0" applyNumberFormat="1" applyFont="1" applyBorder="1" applyAlignment="1">
      <alignment horizontal="right" vertical="center"/>
    </xf>
    <xf numFmtId="3" fontId="13" fillId="0" borderId="24" xfId="0" applyNumberFormat="1" applyFont="1" applyBorder="1"/>
    <xf numFmtId="3" fontId="14" fillId="0" borderId="21" xfId="0" applyNumberFormat="1" applyFont="1" applyBorder="1" applyAlignment="1">
      <alignment horizontal="left" vertical="center"/>
    </xf>
    <xf numFmtId="49" fontId="13" fillId="0" borderId="24" xfId="0" applyNumberFormat="1" applyFont="1" applyBorder="1" applyAlignment="1">
      <alignment horizontal="left" vertical="center"/>
    </xf>
    <xf numFmtId="0" fontId="13" fillId="0" borderId="24" xfId="0" applyFont="1" applyBorder="1" applyAlignment="1">
      <alignment vertical="center"/>
    </xf>
    <xf numFmtId="3" fontId="12" fillId="0" borderId="24" xfId="22" applyNumberFormat="1" applyFont="1" applyBorder="1" applyAlignment="1">
      <alignment horizontal="left"/>
    </xf>
    <xf numFmtId="3" fontId="12" fillId="0" borderId="21" xfId="22" applyNumberFormat="1" applyFont="1" applyBorder="1" applyAlignment="1">
      <alignment horizontal="left"/>
    </xf>
    <xf numFmtId="49" fontId="14" fillId="0" borderId="21" xfId="0" applyNumberFormat="1" applyFont="1" applyBorder="1" applyAlignment="1">
      <alignment horizontal="left" vertical="center"/>
    </xf>
    <xf numFmtId="3" fontId="13" fillId="0" borderId="6" xfId="0" applyNumberFormat="1" applyFont="1" applyBorder="1" applyAlignment="1">
      <alignment horizontal="right" vertical="center"/>
    </xf>
    <xf numFmtId="3" fontId="13" fillId="0" borderId="0" xfId="0" quotePrefix="1" applyNumberFormat="1" applyFont="1" applyAlignment="1">
      <alignment horizontal="right" vertical="center"/>
    </xf>
    <xf numFmtId="3" fontId="12" fillId="0" borderId="26" xfId="22" applyNumberFormat="1" applyFont="1" applyBorder="1" applyAlignment="1">
      <alignment horizontal="left"/>
    </xf>
    <xf numFmtId="3" fontId="14" fillId="0" borderId="0" xfId="22" applyNumberFormat="1" applyFont="1" applyAlignment="1">
      <alignment horizontal="left"/>
    </xf>
    <xf numFmtId="3" fontId="14" fillId="0" borderId="26" xfId="0" applyNumberFormat="1" applyFont="1" applyBorder="1" applyAlignment="1">
      <alignment horizontal="left" vertical="center"/>
    </xf>
    <xf numFmtId="0" fontId="14" fillId="0" borderId="21" xfId="22" applyFont="1" applyBorder="1" applyAlignment="1">
      <alignment horizontal="left"/>
    </xf>
    <xf numFmtId="4" fontId="14" fillId="0" borderId="0" xfId="0" applyNumberFormat="1" applyFont="1" applyAlignment="1">
      <alignment horizontal="left" vertical="center"/>
    </xf>
    <xf numFmtId="49" fontId="13" fillId="0" borderId="23" xfId="0" applyNumberFormat="1" applyFont="1" applyBorder="1" applyAlignment="1">
      <alignment horizontal="left" vertical="center" indent="2"/>
    </xf>
    <xf numFmtId="4" fontId="14" fillId="0" borderId="21" xfId="0" applyNumberFormat="1" applyFont="1" applyBorder="1" applyAlignment="1">
      <alignment horizontal="left" vertical="center"/>
    </xf>
    <xf numFmtId="3" fontId="14" fillId="0" borderId="21" xfId="0" applyNumberFormat="1" applyFont="1" applyBorder="1" applyAlignment="1">
      <alignment horizontal="left"/>
    </xf>
    <xf numFmtId="49" fontId="14" fillId="0" borderId="0" xfId="0" applyNumberFormat="1" applyFont="1" applyAlignment="1">
      <alignment horizontal="left" vertical="center"/>
    </xf>
    <xf numFmtId="49" fontId="13" fillId="0" borderId="24" xfId="0" applyNumberFormat="1" applyFont="1" applyBorder="1" applyAlignment="1">
      <alignment horizontal="left" vertical="center" indent="1"/>
    </xf>
    <xf numFmtId="49" fontId="11" fillId="0" borderId="24" xfId="21" applyNumberFormat="1" applyBorder="1" applyAlignment="1" applyProtection="1">
      <alignment horizontal="center" vertical="center"/>
      <protection locked="0"/>
    </xf>
    <xf numFmtId="49" fontId="13" fillId="0" borderId="20" xfId="0" applyNumberFormat="1" applyFont="1" applyBorder="1" applyAlignment="1">
      <alignment horizontal="left" vertical="center"/>
    </xf>
    <xf numFmtId="49" fontId="13" fillId="0" borderId="0" xfId="0" applyNumberFormat="1" applyFont="1" applyAlignment="1">
      <alignment horizontal="left" vertical="center"/>
    </xf>
    <xf numFmtId="49" fontId="11" fillId="0" borderId="20" xfId="19" applyNumberFormat="1" applyBorder="1" applyAlignment="1" applyProtection="1">
      <alignment horizontal="left" vertical="center" indent="1"/>
      <protection locked="0"/>
    </xf>
    <xf numFmtId="49" fontId="11" fillId="0" borderId="20" xfId="24" applyNumberFormat="1" applyBorder="1" applyAlignment="1" applyProtection="1">
      <alignment horizontal="left" vertical="center"/>
      <protection locked="0"/>
    </xf>
    <xf numFmtId="49" fontId="13" fillId="0" borderId="20" xfId="0" applyNumberFormat="1" applyFont="1" applyBorder="1" applyAlignment="1">
      <alignment horizontal="left" vertical="center" indent="1"/>
    </xf>
    <xf numFmtId="49" fontId="11" fillId="0" borderId="20" xfId="19" applyNumberFormat="1" applyBorder="1" applyAlignment="1" applyProtection="1">
      <alignment horizontal="left" vertical="center" indent="2"/>
      <protection locked="0"/>
    </xf>
    <xf numFmtId="49" fontId="11" fillId="0" borderId="20" xfId="24" applyNumberFormat="1" applyBorder="1" applyAlignment="1" applyProtection="1">
      <alignment horizontal="left" vertical="center" indent="1"/>
      <protection locked="0"/>
    </xf>
    <xf numFmtId="3" fontId="13" fillId="0" borderId="0" xfId="0" applyNumberFormat="1" applyFont="1" applyAlignment="1">
      <alignment horizontal="left" vertical="center"/>
    </xf>
    <xf numFmtId="0" fontId="23" fillId="0" borderId="0" xfId="0" applyFont="1" applyAlignment="1">
      <alignment vertical="center"/>
    </xf>
    <xf numFmtId="0" fontId="11" fillId="0" borderId="25" xfId="10" applyBorder="1" applyAlignment="1" applyProtection="1">
      <alignment horizontal="center" vertical="center"/>
      <protection locked="0"/>
    </xf>
    <xf numFmtId="49" fontId="11" fillId="0" borderId="23" xfId="24" applyNumberFormat="1" applyBorder="1" applyAlignment="1" applyProtection="1">
      <alignment horizontal="left" vertical="center" indent="1"/>
      <protection locked="0"/>
    </xf>
    <xf numFmtId="49" fontId="11" fillId="0" borderId="23" xfId="24" applyNumberFormat="1" applyBorder="1" applyAlignment="1" applyProtection="1">
      <alignment horizontal="left" vertical="center"/>
      <protection locked="0"/>
    </xf>
    <xf numFmtId="49" fontId="11" fillId="0" borderId="23" xfId="24" applyNumberFormat="1" applyBorder="1" applyAlignment="1" applyProtection="1">
      <alignment horizontal="left" vertical="center" indent="2"/>
      <protection locked="0"/>
    </xf>
    <xf numFmtId="49" fontId="11" fillId="0" borderId="7" xfId="24" applyNumberFormat="1" applyBorder="1" applyAlignment="1" applyProtection="1">
      <alignment horizontal="left" vertical="center" indent="1"/>
      <protection locked="0"/>
    </xf>
    <xf numFmtId="0" fontId="0" fillId="0" borderId="0" xfId="0" applyAlignment="1">
      <alignment horizontal="left" vertical="center"/>
    </xf>
    <xf numFmtId="0" fontId="9" fillId="0" borderId="29" xfId="0" applyFont="1" applyBorder="1"/>
    <xf numFmtId="49" fontId="9" fillId="0" borderId="0" xfId="0" applyNumberFormat="1" applyFont="1" applyAlignment="1">
      <alignment horizontal="left" vertical="center"/>
    </xf>
    <xf numFmtId="49" fontId="9" fillId="0" borderId="14" xfId="0" applyNumberFormat="1" applyFont="1" applyBorder="1"/>
    <xf numFmtId="3" fontId="11" fillId="0" borderId="0" xfId="2" applyNumberFormat="1" applyFont="1" applyBorder="1" applyAlignment="1">
      <alignment horizontal="right" vertical="center"/>
    </xf>
    <xf numFmtId="49" fontId="11" fillId="0" borderId="0" xfId="2" applyNumberFormat="1" applyFont="1" applyBorder="1" applyAlignment="1">
      <alignment horizontal="right" vertical="center"/>
    </xf>
    <xf numFmtId="49" fontId="11" fillId="0" borderId="0" xfId="0" applyNumberFormat="1" applyFont="1" applyAlignment="1">
      <alignment vertical="center"/>
    </xf>
    <xf numFmtId="0" fontId="9" fillId="0" borderId="0" xfId="0" applyFont="1" applyAlignment="1">
      <alignment horizontal="left" vertical="center"/>
    </xf>
    <xf numFmtId="0" fontId="0" fillId="0" borderId="0" xfId="0" applyAlignment="1">
      <alignment horizontal="left" vertical="center" wrapText="1"/>
    </xf>
    <xf numFmtId="37" fontId="11" fillId="0" borderId="0" xfId="14" applyAlignment="1" applyProtection="1">
      <alignment horizontal="center" vertical="center"/>
      <protection locked="0"/>
    </xf>
    <xf numFmtId="49" fontId="11" fillId="0" borderId="0" xfId="0" quotePrefix="1" applyNumberFormat="1" applyFont="1" applyAlignment="1">
      <alignment horizontal="right" vertical="center"/>
    </xf>
    <xf numFmtId="37" fontId="11" fillId="0" borderId="30" xfId="8" applyBorder="1" applyAlignment="1" applyProtection="1">
      <alignment vertical="center"/>
      <protection locked="0"/>
    </xf>
    <xf numFmtId="0" fontId="0" fillId="0" borderId="0" xfId="0" applyAlignment="1">
      <alignment wrapText="1"/>
    </xf>
    <xf numFmtId="0" fontId="12" fillId="0" borderId="0" xfId="0" applyFont="1" applyAlignment="1">
      <alignment horizontal="left" vertical="center" wrapText="1"/>
    </xf>
    <xf numFmtId="49" fontId="11" fillId="0" borderId="3" xfId="9" applyNumberFormat="1" applyBorder="1" applyAlignment="1" applyProtection="1">
      <alignment horizontal="left" vertical="center" indent="1"/>
      <protection locked="0"/>
    </xf>
    <xf numFmtId="49" fontId="11" fillId="0" borderId="3" xfId="9" applyNumberFormat="1" applyBorder="1" applyAlignment="1" applyProtection="1">
      <alignment horizontal="center" vertical="center"/>
      <protection locked="0"/>
    </xf>
    <xf numFmtId="49" fontId="11" fillId="0" borderId="5" xfId="9" applyNumberFormat="1" applyBorder="1" applyAlignment="1" applyProtection="1">
      <alignment horizontal="left" vertical="center"/>
      <protection locked="0"/>
    </xf>
    <xf numFmtId="49" fontId="11" fillId="0" borderId="3" xfId="9" applyNumberFormat="1" applyBorder="1" applyAlignment="1" applyProtection="1">
      <alignment horizontal="left" vertical="center"/>
      <protection locked="0"/>
    </xf>
    <xf numFmtId="0" fontId="13" fillId="0" borderId="29" xfId="0" applyFont="1" applyBorder="1"/>
    <xf numFmtId="0" fontId="13" fillId="0" borderId="0" xfId="0" quotePrefix="1" applyFont="1"/>
    <xf numFmtId="49" fontId="0" fillId="0" borderId="0" xfId="0" applyNumberFormat="1" applyAlignment="1">
      <alignment horizontal="left" vertical="center"/>
    </xf>
    <xf numFmtId="49" fontId="0" fillId="0" borderId="0" xfId="0" applyNumberFormat="1" applyAlignment="1">
      <alignment horizontal="left" vertical="center" wrapText="1"/>
    </xf>
    <xf numFmtId="49" fontId="0" fillId="0" borderId="0" xfId="0" applyNumberFormat="1" applyAlignment="1">
      <alignment horizontal="center" vertical="center"/>
    </xf>
    <xf numFmtId="49" fontId="11" fillId="0" borderId="0" xfId="26" applyNumberFormat="1" applyAlignment="1" applyProtection="1">
      <alignment horizontal="center" vertical="center"/>
      <protection locked="0"/>
    </xf>
    <xf numFmtId="49" fontId="0" fillId="0" borderId="0" xfId="0" applyNumberFormat="1" applyAlignment="1">
      <alignment horizontal="center" vertical="top"/>
    </xf>
    <xf numFmtId="49" fontId="23" fillId="0" borderId="0" xfId="0" applyNumberFormat="1" applyFont="1" applyAlignment="1">
      <alignment horizontal="left"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26" xfId="0" applyBorder="1" applyAlignment="1">
      <alignment horizontal="center" vertical="center"/>
    </xf>
    <xf numFmtId="0" fontId="11" fillId="0" borderId="0" xfId="0" applyFont="1" applyAlignment="1">
      <alignment horizontal="center" vertical="center"/>
    </xf>
    <xf numFmtId="49" fontId="11" fillId="0" borderId="0" xfId="21" applyNumberFormat="1" applyAlignment="1" applyProtection="1">
      <alignment horizontal="center" vertical="center"/>
      <protection locked="0"/>
    </xf>
    <xf numFmtId="49" fontId="11" fillId="0" borderId="23" xfId="21" applyNumberFormat="1" applyBorder="1" applyAlignment="1" applyProtection="1">
      <alignment horizontal="center" vertical="center"/>
      <protection locked="0"/>
    </xf>
    <xf numFmtId="0" fontId="11" fillId="0" borderId="0" xfId="22" applyFont="1" applyAlignment="1">
      <alignment horizontal="left" vertical="center"/>
    </xf>
    <xf numFmtId="37" fontId="11" fillId="0" borderId="24" xfId="21" applyBorder="1" applyAlignment="1" applyProtection="1">
      <alignment horizontal="center" vertical="center"/>
      <protection locked="0"/>
    </xf>
    <xf numFmtId="49" fontId="12" fillId="0" borderId="0" xfId="16" applyNumberFormat="1" applyFont="1" applyAlignment="1" applyProtection="1">
      <alignment horizontal="left" vertical="center"/>
      <protection locked="0"/>
    </xf>
    <xf numFmtId="3" fontId="11" fillId="0" borderId="2" xfId="0" applyNumberFormat="1" applyFont="1" applyBorder="1" applyAlignment="1">
      <alignment horizontal="right" vertical="center"/>
    </xf>
    <xf numFmtId="3" fontId="11" fillId="0" borderId="28" xfId="0" applyNumberFormat="1" applyFont="1" applyBorder="1" applyAlignment="1">
      <alignment horizontal="right" vertical="center"/>
    </xf>
    <xf numFmtId="49" fontId="10" fillId="0" borderId="0" xfId="0" applyNumberFormat="1" applyFont="1" applyAlignment="1">
      <alignment horizontal="left" vertical="center"/>
    </xf>
    <xf numFmtId="49" fontId="17" fillId="0" borderId="0" xfId="0" applyNumberFormat="1" applyFont="1" applyAlignment="1">
      <alignment horizontal="left" vertical="center"/>
    </xf>
    <xf numFmtId="49" fontId="0" fillId="0" borderId="23" xfId="0" applyNumberFormat="1" applyBorder="1" applyAlignment="1">
      <alignment horizontal="right" vertical="center"/>
    </xf>
    <xf numFmtId="49" fontId="11" fillId="0" borderId="20" xfId="16" applyNumberFormat="1" applyBorder="1" applyAlignment="1" applyProtection="1">
      <alignment horizontal="right" vertical="center"/>
      <protection locked="0"/>
    </xf>
    <xf numFmtId="49" fontId="11" fillId="0" borderId="25" xfId="21" applyNumberFormat="1" applyBorder="1" applyAlignment="1" applyProtection="1">
      <alignment horizontal="center" vertical="center"/>
      <protection locked="0"/>
    </xf>
    <xf numFmtId="49" fontId="12" fillId="0" borderId="0" xfId="21" applyNumberFormat="1" applyFont="1" applyAlignment="1" applyProtection="1">
      <alignment horizontal="center" vertical="center"/>
      <protection locked="0"/>
    </xf>
    <xf numFmtId="49" fontId="13" fillId="0" borderId="26" xfId="0" applyNumberFormat="1" applyFont="1" applyBorder="1" applyAlignment="1">
      <alignment horizontal="center" vertical="center"/>
    </xf>
    <xf numFmtId="49" fontId="13" fillId="0" borderId="24" xfId="0" applyNumberFormat="1" applyFont="1" applyBorder="1" applyAlignment="1">
      <alignment horizontal="center" vertical="center"/>
    </xf>
    <xf numFmtId="49" fontId="11" fillId="0" borderId="4" xfId="5" applyNumberFormat="1" applyBorder="1" applyAlignment="1" applyProtection="1">
      <alignment horizontal="center" vertical="center"/>
      <protection locked="0"/>
    </xf>
    <xf numFmtId="49" fontId="11" fillId="0" borderId="0" xfId="5" applyNumberFormat="1" applyAlignment="1" applyProtection="1">
      <alignment horizontal="center" vertical="center"/>
      <protection locked="0"/>
    </xf>
    <xf numFmtId="49" fontId="11" fillId="0" borderId="3" xfId="5" applyNumberFormat="1" applyBorder="1" applyAlignment="1" applyProtection="1">
      <alignment horizontal="center" vertical="center"/>
      <protection locked="0"/>
    </xf>
    <xf numFmtId="49" fontId="11" fillId="0" borderId="17" xfId="5" applyNumberFormat="1" applyBorder="1" applyAlignment="1" applyProtection="1">
      <alignment horizontal="center" vertical="center"/>
      <protection locked="0"/>
    </xf>
    <xf numFmtId="49" fontId="11" fillId="0" borderId="5" xfId="5" applyNumberFormat="1" applyBorder="1" applyAlignment="1" applyProtection="1">
      <alignment horizontal="left" vertical="center" indent="1"/>
      <protection locked="0"/>
    </xf>
    <xf numFmtId="49" fontId="11" fillId="0" borderId="5" xfId="5" applyNumberFormat="1" applyBorder="1" applyAlignment="1" applyProtection="1">
      <alignment horizontal="left" vertical="center" indent="2"/>
      <protection locked="0"/>
    </xf>
    <xf numFmtId="49" fontId="11" fillId="0" borderId="5" xfId="5" applyNumberFormat="1" applyBorder="1" applyAlignment="1" applyProtection="1">
      <alignment horizontal="left" vertical="center" indent="3"/>
      <protection locked="0"/>
    </xf>
    <xf numFmtId="49" fontId="11" fillId="0" borderId="27" xfId="5" applyNumberFormat="1" applyBorder="1" applyAlignment="1" applyProtection="1">
      <alignment horizontal="left" vertical="center" indent="1"/>
      <protection locked="0"/>
    </xf>
    <xf numFmtId="49" fontId="11" fillId="0" borderId="4" xfId="18" applyNumberFormat="1" applyBorder="1" applyAlignment="1" applyProtection="1">
      <alignment horizontal="center" vertical="center"/>
      <protection locked="0"/>
    </xf>
    <xf numFmtId="49" fontId="11" fillId="0" borderId="3" xfId="18" applyNumberFormat="1" applyBorder="1" applyAlignment="1" applyProtection="1">
      <alignment horizontal="center" vertical="center"/>
      <protection locked="0"/>
    </xf>
    <xf numFmtId="49" fontId="11" fillId="0" borderId="5" xfId="18" applyNumberFormat="1" applyBorder="1" applyAlignment="1" applyProtection="1">
      <alignment horizontal="left" vertical="center"/>
      <protection locked="0"/>
    </xf>
    <xf numFmtId="49" fontId="11" fillId="0" borderId="11" xfId="18" applyNumberFormat="1" applyBorder="1" applyAlignment="1" applyProtection="1">
      <alignment horizontal="left" vertical="center" indent="1"/>
      <protection locked="0"/>
    </xf>
    <xf numFmtId="49" fontId="11" fillId="0" borderId="3" xfId="18" applyNumberFormat="1" applyBorder="1" applyAlignment="1" applyProtection="1">
      <alignment horizontal="left" vertical="center" indent="1"/>
      <protection locked="0"/>
    </xf>
    <xf numFmtId="49" fontId="11" fillId="0" borderId="5" xfId="18" applyNumberFormat="1" applyBorder="1" applyAlignment="1" applyProtection="1">
      <alignment horizontal="left" vertical="center" indent="1"/>
      <protection locked="0"/>
    </xf>
    <xf numFmtId="49" fontId="11" fillId="0" borderId="3" xfId="18" applyNumberFormat="1" applyBorder="1" applyAlignment="1" applyProtection="1">
      <alignment horizontal="left" vertical="center" indent="2"/>
      <protection locked="0"/>
    </xf>
    <xf numFmtId="49" fontId="11" fillId="0" borderId="0" xfId="6" applyNumberFormat="1" applyAlignment="1" applyProtection="1">
      <alignment horizontal="center" vertical="center"/>
      <protection locked="0"/>
    </xf>
    <xf numFmtId="49" fontId="11" fillId="0" borderId="4" xfId="6" applyNumberFormat="1" applyBorder="1" applyAlignment="1" applyProtection="1">
      <alignment horizontal="center" vertical="center"/>
      <protection locked="0"/>
    </xf>
    <xf numFmtId="49" fontId="11" fillId="0" borderId="25" xfId="6" applyNumberFormat="1" applyBorder="1" applyAlignment="1" applyProtection="1">
      <alignment horizontal="center" vertical="center"/>
      <protection locked="0"/>
    </xf>
    <xf numFmtId="49" fontId="0" fillId="0" borderId="25" xfId="0" applyNumberFormat="1" applyBorder="1" applyAlignment="1">
      <alignment horizontal="center" vertical="center"/>
    </xf>
    <xf numFmtId="49" fontId="11" fillId="0" borderId="7" xfId="6" applyNumberFormat="1" applyBorder="1" applyAlignment="1" applyProtection="1">
      <alignment horizontal="center" vertical="center"/>
      <protection locked="0"/>
    </xf>
    <xf numFmtId="49" fontId="0" fillId="0" borderId="7" xfId="0" applyNumberFormat="1" applyBorder="1" applyAlignment="1">
      <alignment horizontal="center" vertical="center"/>
    </xf>
    <xf numFmtId="49" fontId="11" fillId="0" borderId="5" xfId="8" applyNumberFormat="1" applyBorder="1" applyAlignment="1" applyProtection="1">
      <alignment horizontal="left" vertical="center"/>
      <protection locked="0"/>
    </xf>
    <xf numFmtId="49" fontId="11" fillId="0" borderId="5" xfId="8" applyNumberFormat="1" applyBorder="1" applyAlignment="1" applyProtection="1">
      <alignment horizontal="left" vertical="center" indent="1"/>
      <protection locked="0"/>
    </xf>
    <xf numFmtId="49" fontId="11" fillId="0" borderId="30" xfId="8" applyNumberFormat="1" applyBorder="1" applyAlignment="1" applyProtection="1">
      <alignment horizontal="left" vertical="center" indent="1"/>
      <protection locked="0"/>
    </xf>
    <xf numFmtId="49" fontId="11" fillId="0" borderId="4" xfId="8" applyNumberFormat="1" applyBorder="1" applyAlignment="1" applyProtection="1">
      <alignment horizontal="center" vertical="center"/>
      <protection locked="0"/>
    </xf>
    <xf numFmtId="49" fontId="11" fillId="0" borderId="26" xfId="8" applyNumberFormat="1" applyBorder="1" applyAlignment="1" applyProtection="1">
      <alignment horizontal="center" vertical="center"/>
      <protection locked="0"/>
    </xf>
    <xf numFmtId="49" fontId="11" fillId="0" borderId="0" xfId="8" applyNumberFormat="1" applyAlignment="1" applyProtection="1">
      <alignment horizontal="center" vertical="center"/>
      <protection locked="0"/>
    </xf>
    <xf numFmtId="49" fontId="11" fillId="0" borderId="3" xfId="8" applyNumberFormat="1" applyBorder="1" applyAlignment="1" applyProtection="1">
      <alignment horizontal="center" vertical="center"/>
      <protection locked="0"/>
    </xf>
    <xf numFmtId="49" fontId="11" fillId="0" borderId="29" xfId="8" applyNumberFormat="1" applyBorder="1" applyAlignment="1" applyProtection="1">
      <alignment horizontal="center" vertical="center"/>
      <protection locked="0"/>
    </xf>
    <xf numFmtId="49" fontId="11" fillId="0" borderId="0" xfId="9" applyNumberFormat="1" applyAlignment="1" applyProtection="1">
      <alignment horizontal="center" vertical="center"/>
      <protection locked="0"/>
    </xf>
    <xf numFmtId="49" fontId="11" fillId="0" borderId="3" xfId="10" applyNumberFormat="1" applyBorder="1" applyAlignment="1" applyProtection="1">
      <alignment horizontal="center" vertical="center"/>
      <protection locked="0"/>
    </xf>
    <xf numFmtId="49" fontId="11" fillId="0" borderId="5" xfId="10" applyNumberFormat="1" applyBorder="1" applyAlignment="1" applyProtection="1">
      <alignment horizontal="center" vertical="center"/>
      <protection locked="0"/>
    </xf>
    <xf numFmtId="49" fontId="11" fillId="0" borderId="3" xfId="14" applyNumberFormat="1" applyBorder="1" applyAlignment="1" applyProtection="1">
      <alignment horizontal="left" vertical="center"/>
      <protection locked="0"/>
    </xf>
    <xf numFmtId="49" fontId="11" fillId="0" borderId="5" xfId="14" applyNumberFormat="1" applyBorder="1" applyAlignment="1" applyProtection="1">
      <alignment horizontal="left" vertical="center"/>
      <protection locked="0"/>
    </xf>
    <xf numFmtId="49" fontId="11" fillId="0" borderId="5" xfId="14" applyNumberFormat="1" applyBorder="1" applyAlignment="1" applyProtection="1">
      <alignment horizontal="left" vertical="center" indent="1"/>
      <protection locked="0"/>
    </xf>
    <xf numFmtId="49" fontId="11" fillId="0" borderId="0" xfId="0" applyNumberFormat="1" applyFont="1" applyAlignment="1">
      <alignment horizontal="left" vertical="center" indent="1"/>
    </xf>
    <xf numFmtId="49" fontId="11" fillId="0" borderId="9" xfId="14" applyNumberFormat="1" applyBorder="1" applyAlignment="1" applyProtection="1">
      <alignment horizontal="left" vertical="center" indent="2"/>
      <protection locked="0"/>
    </xf>
    <xf numFmtId="49" fontId="11" fillId="0" borderId="17" xfId="14" applyNumberFormat="1" applyBorder="1" applyAlignment="1" applyProtection="1">
      <alignment horizontal="left" vertical="center" indent="1"/>
      <protection locked="0"/>
    </xf>
    <xf numFmtId="49" fontId="13" fillId="0" borderId="29" xfId="0" applyNumberFormat="1" applyFont="1" applyBorder="1" applyAlignment="1">
      <alignment horizontal="center" vertical="center"/>
    </xf>
    <xf numFmtId="49" fontId="13" fillId="0" borderId="19" xfId="0" applyNumberFormat="1" applyFont="1" applyBorder="1" applyAlignment="1">
      <alignment horizontal="left" vertical="center"/>
    </xf>
    <xf numFmtId="49" fontId="11" fillId="0" borderId="4" xfId="10" applyNumberFormat="1" applyBorder="1" applyAlignment="1" applyProtection="1">
      <alignment horizontal="center" vertical="center"/>
      <protection locked="0"/>
    </xf>
    <xf numFmtId="49" fontId="11" fillId="0" borderId="25" xfId="19" applyNumberFormat="1" applyBorder="1" applyAlignment="1" applyProtection="1">
      <alignment horizontal="center" vertical="center"/>
      <protection locked="0"/>
    </xf>
    <xf numFmtId="49" fontId="11" fillId="0" borderId="0" xfId="19" applyNumberFormat="1" applyAlignment="1" applyProtection="1">
      <alignment horizontal="center" vertical="center"/>
      <protection locked="0"/>
    </xf>
    <xf numFmtId="49" fontId="11" fillId="0" borderId="26" xfId="19" applyNumberFormat="1" applyBorder="1" applyAlignment="1" applyProtection="1">
      <alignment horizontal="center" vertical="center"/>
      <protection locked="0"/>
    </xf>
    <xf numFmtId="49" fontId="12" fillId="0" borderId="26" xfId="19" applyNumberFormat="1" applyFont="1" applyBorder="1" applyAlignment="1" applyProtection="1">
      <alignment horizontal="center" vertical="center"/>
      <protection locked="0"/>
    </xf>
    <xf numFmtId="49" fontId="11" fillId="0" borderId="33" xfId="19" applyNumberFormat="1" applyBorder="1" applyAlignment="1" applyProtection="1">
      <alignment horizontal="center" vertical="center"/>
      <protection locked="0"/>
    </xf>
    <xf numFmtId="49" fontId="0" fillId="0" borderId="27" xfId="0" applyNumberFormat="1" applyBorder="1" applyAlignment="1">
      <alignment horizontal="center" vertical="center"/>
    </xf>
    <xf numFmtId="49" fontId="11" fillId="0" borderId="20" xfId="0" applyNumberFormat="1" applyFont="1" applyBorder="1" applyAlignment="1">
      <alignment horizontal="left" vertical="center"/>
    </xf>
    <xf numFmtId="49" fontId="11" fillId="0" borderId="7" xfId="19" applyNumberFormat="1" applyBorder="1" applyAlignment="1" applyProtection="1">
      <alignment horizontal="left" vertical="center" indent="1"/>
      <protection locked="0"/>
    </xf>
    <xf numFmtId="49" fontId="11" fillId="0" borderId="5" xfId="13" applyNumberFormat="1" applyBorder="1" applyAlignment="1" applyProtection="1">
      <alignment horizontal="left" vertical="center"/>
      <protection locked="0"/>
    </xf>
    <xf numFmtId="49" fontId="13" fillId="0" borderId="5" xfId="0" applyNumberFormat="1" applyFont="1" applyBorder="1" applyAlignment="1">
      <alignment horizontal="left" vertical="center" indent="1"/>
    </xf>
    <xf numFmtId="49" fontId="11" fillId="0" borderId="5" xfId="19" applyNumberFormat="1" applyBorder="1" applyAlignment="1" applyProtection="1">
      <alignment horizontal="left" vertical="center" indent="2"/>
      <protection locked="0"/>
    </xf>
    <xf numFmtId="49" fontId="11" fillId="0" borderId="27" xfId="19" applyNumberFormat="1" applyBorder="1" applyAlignment="1" applyProtection="1">
      <alignment horizontal="left" vertical="center" indent="1"/>
      <protection locked="0"/>
    </xf>
    <xf numFmtId="49" fontId="9" fillId="0" borderId="26" xfId="0" applyNumberFormat="1" applyFont="1" applyBorder="1" applyAlignment="1">
      <alignment horizontal="center" vertical="center"/>
    </xf>
    <xf numFmtId="49" fontId="11" fillId="0" borderId="20" xfId="16" applyNumberFormat="1" applyBorder="1" applyAlignment="1" applyProtection="1">
      <alignment vertical="center"/>
      <protection locked="0"/>
    </xf>
    <xf numFmtId="49" fontId="11" fillId="0" borderId="20" xfId="16" applyNumberFormat="1" applyBorder="1" applyAlignment="1" applyProtection="1">
      <alignment horizontal="left" vertical="center" indent="1"/>
      <protection locked="0"/>
    </xf>
    <xf numFmtId="49" fontId="11" fillId="0" borderId="20" xfId="16" applyNumberFormat="1" applyBorder="1" applyAlignment="1" applyProtection="1">
      <alignment horizontal="left" vertical="center" indent="2"/>
      <protection locked="0"/>
    </xf>
    <xf numFmtId="49" fontId="11" fillId="0" borderId="0" xfId="16" applyNumberFormat="1" applyAlignment="1" applyProtection="1">
      <alignment horizontal="left" vertical="center"/>
      <protection locked="0"/>
    </xf>
    <xf numFmtId="49" fontId="14" fillId="0" borderId="0" xfId="16" applyNumberFormat="1" applyFont="1" applyAlignment="1" applyProtection="1">
      <alignment horizontal="left" vertical="center"/>
      <protection locked="0"/>
    </xf>
    <xf numFmtId="49" fontId="14" fillId="0" borderId="22" xfId="16" applyNumberFormat="1" applyFont="1" applyBorder="1" applyAlignment="1" applyProtection="1">
      <alignment horizontal="left" vertical="center"/>
      <protection locked="0"/>
    </xf>
    <xf numFmtId="49" fontId="11" fillId="0" borderId="5" xfId="15" applyNumberFormat="1" applyBorder="1" applyAlignment="1" applyProtection="1">
      <alignment horizontal="center" vertical="center"/>
      <protection locked="0"/>
    </xf>
    <xf numFmtId="49" fontId="11" fillId="0" borderId="5" xfId="15" applyNumberFormat="1" applyBorder="1" applyAlignment="1" applyProtection="1">
      <alignment horizontal="left" vertical="center"/>
      <protection locked="0"/>
    </xf>
    <xf numFmtId="49" fontId="11" fillId="0" borderId="7" xfId="15" applyNumberFormat="1" applyBorder="1" applyAlignment="1" applyProtection="1">
      <alignment horizontal="left" vertical="center"/>
      <protection locked="0"/>
    </xf>
    <xf numFmtId="49" fontId="11" fillId="0" borderId="4" xfId="15" applyNumberFormat="1" applyBorder="1" applyAlignment="1" applyProtection="1">
      <alignment horizontal="left" vertical="center"/>
      <protection locked="0"/>
    </xf>
    <xf numFmtId="49" fontId="11" fillId="0" borderId="7" xfId="15" applyNumberFormat="1" applyBorder="1" applyAlignment="1" applyProtection="1">
      <alignment horizontal="left" vertical="center" indent="1"/>
      <protection locked="0"/>
    </xf>
    <xf numFmtId="49" fontId="11" fillId="0" borderId="0" xfId="15" applyNumberFormat="1" applyAlignment="1" applyProtection="1">
      <alignment horizontal="left" vertical="center"/>
      <protection locked="0"/>
    </xf>
    <xf numFmtId="49" fontId="11" fillId="0" borderId="0" xfId="15" applyNumberFormat="1" applyAlignment="1" applyProtection="1">
      <alignment horizontal="left" vertical="center" indent="1"/>
      <protection locked="0"/>
    </xf>
    <xf numFmtId="49" fontId="11" fillId="0" borderId="8" xfId="15" applyNumberFormat="1" applyBorder="1" applyAlignment="1" applyProtection="1">
      <alignment horizontal="left" vertical="center"/>
      <protection locked="0"/>
    </xf>
    <xf numFmtId="49" fontId="11" fillId="0" borderId="8" xfId="15" applyNumberFormat="1" applyBorder="1" applyAlignment="1" applyProtection="1">
      <alignment horizontal="left" vertical="center" indent="1"/>
      <protection locked="0"/>
    </xf>
    <xf numFmtId="49" fontId="9" fillId="0" borderId="0" xfId="0" applyNumberFormat="1" applyFont="1" applyAlignment="1">
      <alignment horizontal="center" vertical="center"/>
    </xf>
    <xf numFmtId="49" fontId="9" fillId="0" borderId="15" xfId="0" applyNumberFormat="1" applyFont="1" applyBorder="1" applyAlignment="1">
      <alignment horizontal="center" vertical="center"/>
    </xf>
    <xf numFmtId="49" fontId="9" fillId="0" borderId="23" xfId="0" applyNumberFormat="1" applyFont="1" applyBorder="1" applyAlignment="1">
      <alignment horizontal="left" vertical="center"/>
    </xf>
    <xf numFmtId="49" fontId="9" fillId="0" borderId="29" xfId="0" applyNumberFormat="1" applyFont="1" applyBorder="1" applyAlignment="1">
      <alignment horizontal="left" vertical="center"/>
    </xf>
    <xf numFmtId="49" fontId="13" fillId="0" borderId="0" xfId="0" applyNumberFormat="1" applyFont="1" applyAlignment="1">
      <alignment horizontal="center" vertical="center"/>
    </xf>
    <xf numFmtId="49" fontId="11" fillId="0" borderId="3" xfId="6" applyNumberFormat="1" applyBorder="1" applyAlignment="1" applyProtection="1">
      <alignment horizontal="center" vertical="center"/>
      <protection locked="0"/>
    </xf>
    <xf numFmtId="49" fontId="11" fillId="0" borderId="5" xfId="6" applyNumberFormat="1" applyBorder="1" applyAlignment="1" applyProtection="1">
      <alignment horizontal="center" vertical="center"/>
      <protection locked="0"/>
    </xf>
    <xf numFmtId="49" fontId="11" fillId="0" borderId="0" xfId="10" applyNumberFormat="1" applyAlignment="1" applyProtection="1">
      <alignment horizontal="center" vertical="center"/>
      <protection locked="0"/>
    </xf>
    <xf numFmtId="49" fontId="0" fillId="0" borderId="0" xfId="0" applyNumberFormat="1"/>
    <xf numFmtId="49" fontId="11" fillId="0" borderId="10" xfId="16" applyNumberFormat="1" applyBorder="1" applyAlignment="1" applyProtection="1">
      <alignment horizontal="left" vertical="center"/>
      <protection locked="0"/>
    </xf>
    <xf numFmtId="49" fontId="10" fillId="0" borderId="0" xfId="0" applyNumberFormat="1" applyFont="1" applyAlignment="1">
      <alignment horizontal="center" vertical="center"/>
    </xf>
    <xf numFmtId="49" fontId="11" fillId="0" borderId="4" xfId="4" applyNumberFormat="1" applyBorder="1" applyAlignment="1" applyProtection="1">
      <alignment horizontal="center" vertical="center"/>
      <protection locked="0"/>
    </xf>
    <xf numFmtId="49" fontId="11" fillId="0" borderId="16" xfId="4" applyNumberFormat="1" applyBorder="1" applyAlignment="1" applyProtection="1">
      <alignment horizontal="center" vertical="center"/>
      <protection locked="0"/>
    </xf>
    <xf numFmtId="49" fontId="11" fillId="0" borderId="5" xfId="4" applyNumberFormat="1" applyBorder="1" applyAlignment="1" applyProtection="1">
      <alignment horizontal="left" vertical="center"/>
      <protection locked="0"/>
    </xf>
    <xf numFmtId="49" fontId="11" fillId="0" borderId="5" xfId="4" applyNumberFormat="1" applyBorder="1" applyAlignment="1" applyProtection="1">
      <alignment horizontal="left" vertical="center" indent="1"/>
      <protection locked="0"/>
    </xf>
    <xf numFmtId="49" fontId="12" fillId="0" borderId="5" xfId="4" applyNumberFormat="1" applyFont="1" applyBorder="1" applyAlignment="1" applyProtection="1">
      <alignment horizontal="left" vertical="center" indent="1"/>
      <protection locked="0"/>
    </xf>
    <xf numFmtId="49" fontId="11" fillId="0" borderId="16" xfId="4" applyNumberFormat="1" applyBorder="1" applyAlignment="1" applyProtection="1">
      <alignment horizontal="left" vertical="center" indent="1"/>
      <protection locked="0"/>
    </xf>
    <xf numFmtId="49" fontId="11" fillId="0" borderId="0" xfId="1" applyNumberFormat="1" applyAlignment="1" applyProtection="1">
      <alignment horizontal="center" vertical="center"/>
      <protection locked="0"/>
    </xf>
    <xf numFmtId="49" fontId="11" fillId="0" borderId="20" xfId="9" applyNumberFormat="1" applyBorder="1" applyAlignment="1" applyProtection="1">
      <alignment horizontal="left" vertical="center"/>
      <protection locked="0"/>
    </xf>
    <xf numFmtId="49" fontId="11" fillId="0" borderId="1" xfId="0" applyNumberFormat="1" applyFont="1" applyBorder="1" applyAlignment="1">
      <alignment horizontal="center" vertical="center"/>
    </xf>
    <xf numFmtId="49" fontId="11" fillId="0" borderId="0" xfId="0" applyNumberFormat="1" applyFont="1" applyAlignment="1">
      <alignment horizontal="center" vertical="center"/>
    </xf>
    <xf numFmtId="49" fontId="11" fillId="0" borderId="0" xfId="12" applyNumberFormat="1" applyAlignment="1" applyProtection="1">
      <alignment horizontal="center" vertical="center"/>
      <protection locked="0"/>
    </xf>
    <xf numFmtId="49" fontId="11" fillId="0" borderId="17" xfId="0" applyNumberFormat="1" applyFont="1" applyBorder="1" applyAlignment="1">
      <alignment horizontal="center" vertical="center"/>
    </xf>
    <xf numFmtId="49" fontId="11" fillId="0" borderId="3" xfId="12" applyNumberFormat="1" applyBorder="1" applyAlignment="1" applyProtection="1">
      <alignment horizontal="center" vertical="center"/>
      <protection locked="0"/>
    </xf>
    <xf numFmtId="49" fontId="12" fillId="0" borderId="17" xfId="0" applyNumberFormat="1" applyFont="1" applyBorder="1" applyAlignment="1">
      <alignment horizontal="center" vertical="center"/>
    </xf>
    <xf numFmtId="49" fontId="11" fillId="0" borderId="29" xfId="0" applyNumberFormat="1" applyFont="1" applyBorder="1" applyAlignment="1">
      <alignment horizontal="center" vertical="center"/>
    </xf>
    <xf numFmtId="49" fontId="11" fillId="0" borderId="3" xfId="12" applyNumberFormat="1" applyBorder="1" applyAlignment="1" applyProtection="1">
      <alignment horizontal="left" vertical="center"/>
      <protection locked="0"/>
    </xf>
    <xf numFmtId="49" fontId="11" fillId="0" borderId="5" xfId="12" applyNumberFormat="1" applyBorder="1" applyAlignment="1" applyProtection="1">
      <alignment horizontal="left" vertical="center"/>
      <protection locked="0"/>
    </xf>
    <xf numFmtId="49" fontId="11" fillId="0" borderId="5" xfId="12" applyNumberFormat="1" applyBorder="1" applyAlignment="1" applyProtection="1">
      <alignment horizontal="left" vertical="center" indent="1"/>
      <protection locked="0"/>
    </xf>
    <xf numFmtId="49" fontId="11" fillId="0" borderId="17" xfId="12" applyNumberFormat="1" applyBorder="1" applyAlignment="1" applyProtection="1">
      <alignment horizontal="left" vertical="center" indent="1"/>
      <protection locked="0"/>
    </xf>
    <xf numFmtId="49" fontId="13" fillId="0" borderId="36" xfId="0" applyNumberFormat="1" applyFont="1" applyBorder="1" applyAlignment="1">
      <alignment horizontal="center" vertical="center"/>
    </xf>
    <xf numFmtId="3" fontId="0" fillId="0" borderId="0" xfId="0" applyNumberFormat="1"/>
    <xf numFmtId="49" fontId="11" fillId="0" borderId="25" xfId="10" applyNumberFormat="1" applyBorder="1" applyAlignment="1" applyProtection="1">
      <alignment horizontal="center" vertical="center"/>
      <protection locked="0"/>
    </xf>
    <xf numFmtId="3" fontId="23" fillId="0" borderId="0" xfId="0" applyNumberFormat="1" applyFont="1"/>
    <xf numFmtId="166" fontId="9" fillId="0" borderId="0" xfId="0" applyNumberFormat="1" applyFont="1"/>
    <xf numFmtId="3" fontId="13" fillId="0" borderId="10" xfId="0" applyNumberFormat="1" applyFont="1" applyBorder="1" applyAlignment="1">
      <alignment horizontal="right" vertical="center"/>
    </xf>
    <xf numFmtId="3" fontId="14" fillId="0" borderId="21" xfId="22" applyNumberFormat="1" applyFont="1" applyBorder="1" applyAlignment="1">
      <alignment horizontal="left"/>
    </xf>
    <xf numFmtId="172" fontId="13" fillId="0" borderId="0" xfId="0" applyNumberFormat="1" applyFont="1" applyAlignment="1">
      <alignment horizontal="right" vertical="center"/>
    </xf>
    <xf numFmtId="3" fontId="14" fillId="0" borderId="36" xfId="0" applyNumberFormat="1" applyFont="1" applyBorder="1" applyAlignment="1">
      <alignment horizontal="left" vertical="center"/>
    </xf>
    <xf numFmtId="0" fontId="0" fillId="0" borderId="0" xfId="0" applyAlignment="1">
      <alignment horizontal="right"/>
    </xf>
    <xf numFmtId="49" fontId="9" fillId="0" borderId="40" xfId="0" applyNumberFormat="1" applyFont="1" applyBorder="1" applyAlignment="1">
      <alignment horizontal="center" vertical="center"/>
    </xf>
    <xf numFmtId="49" fontId="13" fillId="0" borderId="0" xfId="0" applyNumberFormat="1" applyFont="1" applyAlignment="1">
      <alignment horizontal="right" vertical="center"/>
    </xf>
    <xf numFmtId="3" fontId="13" fillId="0" borderId="37" xfId="0" applyNumberFormat="1" applyFont="1" applyBorder="1" applyAlignment="1">
      <alignment horizontal="right" vertical="center"/>
    </xf>
    <xf numFmtId="4" fontId="14" fillId="0" borderId="37" xfId="0" applyNumberFormat="1" applyFont="1" applyBorder="1" applyAlignment="1">
      <alignment horizontal="left" vertical="center"/>
    </xf>
    <xf numFmtId="4" fontId="14" fillId="0" borderId="26" xfId="0" applyNumberFormat="1" applyFont="1" applyBorder="1" applyAlignment="1">
      <alignment horizontal="left" vertical="center"/>
    </xf>
    <xf numFmtId="49" fontId="11" fillId="0" borderId="38" xfId="16" applyNumberFormat="1" applyBorder="1" applyAlignment="1" applyProtection="1">
      <alignment horizontal="right" vertical="center"/>
      <protection locked="0"/>
    </xf>
    <xf numFmtId="49" fontId="11" fillId="0" borderId="0" xfId="16" applyNumberFormat="1" applyAlignment="1" applyProtection="1">
      <alignment vertical="center"/>
      <protection locked="0"/>
    </xf>
    <xf numFmtId="49" fontId="11" fillId="0" borderId="0" xfId="16" applyNumberFormat="1" applyAlignment="1" applyProtection="1">
      <alignment horizontal="right" vertical="center"/>
      <protection locked="0"/>
    </xf>
    <xf numFmtId="49" fontId="0" fillId="0" borderId="0" xfId="0" applyNumberFormat="1" applyAlignment="1">
      <alignment horizontal="right" vertical="center"/>
    </xf>
    <xf numFmtId="49" fontId="11" fillId="0" borderId="20" xfId="16" applyNumberFormat="1" applyBorder="1" applyAlignment="1" applyProtection="1">
      <alignment horizontal="left" vertical="center" indent="3"/>
      <protection locked="0"/>
    </xf>
    <xf numFmtId="49" fontId="13" fillId="0" borderId="19" xfId="0" applyNumberFormat="1" applyFont="1" applyBorder="1" applyAlignment="1">
      <alignment horizontal="left" vertical="center" indent="1"/>
    </xf>
    <xf numFmtId="49" fontId="14" fillId="0" borderId="6" xfId="0" applyNumberFormat="1" applyFont="1" applyBorder="1" applyAlignment="1">
      <alignment horizontal="left" vertical="center"/>
    </xf>
    <xf numFmtId="49" fontId="14" fillId="0" borderId="24" xfId="0" applyNumberFormat="1" applyFont="1" applyBorder="1" applyAlignment="1">
      <alignment horizontal="left" vertical="center"/>
    </xf>
    <xf numFmtId="49" fontId="0" fillId="0" borderId="26" xfId="0" applyNumberFormat="1" applyBorder="1" applyAlignment="1">
      <alignment horizontal="center" vertical="center"/>
    </xf>
    <xf numFmtId="49" fontId="13" fillId="0" borderId="39" xfId="0" applyNumberFormat="1" applyFont="1" applyBorder="1" applyAlignment="1">
      <alignment horizontal="left" vertical="center"/>
    </xf>
    <xf numFmtId="49" fontId="13" fillId="0" borderId="39" xfId="0" applyNumberFormat="1" applyFont="1" applyBorder="1" applyAlignment="1">
      <alignment horizontal="left" vertical="center" indent="1"/>
    </xf>
    <xf numFmtId="49" fontId="13" fillId="0" borderId="38" xfId="0" applyNumberFormat="1" applyFont="1" applyBorder="1" applyAlignment="1">
      <alignment horizontal="left" vertical="center"/>
    </xf>
    <xf numFmtId="49" fontId="13" fillId="0" borderId="38" xfId="0" applyNumberFormat="1" applyFont="1" applyBorder="1" applyAlignment="1">
      <alignment horizontal="left" vertical="center" indent="1"/>
    </xf>
    <xf numFmtId="49" fontId="11" fillId="0" borderId="41" xfId="19" applyNumberFormat="1" applyBorder="1" applyAlignment="1" applyProtection="1">
      <alignment horizontal="center" vertical="center"/>
      <protection locked="0"/>
    </xf>
    <xf numFmtId="49" fontId="0" fillId="0" borderId="41" xfId="0" applyNumberFormat="1" applyBorder="1" applyAlignment="1">
      <alignment horizontal="center" vertical="center"/>
    </xf>
    <xf numFmtId="3" fontId="11" fillId="0" borderId="0" xfId="22" applyNumberFormat="1" applyFont="1" applyAlignment="1">
      <alignment horizontal="right" vertical="center"/>
    </xf>
    <xf numFmtId="0" fontId="12" fillId="0" borderId="37" xfId="22" applyFont="1" applyBorder="1" applyAlignment="1">
      <alignment horizontal="left"/>
    </xf>
    <xf numFmtId="3" fontId="11" fillId="0" borderId="10" xfId="22" applyNumberFormat="1" applyFont="1" applyBorder="1" applyAlignment="1">
      <alignment horizontal="right" vertical="center"/>
    </xf>
    <xf numFmtId="172" fontId="11" fillId="0" borderId="0" xfId="22" applyNumberFormat="1" applyFont="1"/>
    <xf numFmtId="49" fontId="14" fillId="0" borderId="13" xfId="0" applyNumberFormat="1" applyFont="1" applyBorder="1" applyAlignment="1">
      <alignment horizontal="left" vertical="center"/>
    </xf>
    <xf numFmtId="0" fontId="23" fillId="0" borderId="21" xfId="0" applyFont="1" applyBorder="1"/>
    <xf numFmtId="3" fontId="14" fillId="0" borderId="6" xfId="0" applyNumberFormat="1" applyFont="1" applyBorder="1" applyAlignment="1">
      <alignment horizontal="left"/>
    </xf>
    <xf numFmtId="3" fontId="13" fillId="0" borderId="43" xfId="0" applyNumberFormat="1" applyFont="1" applyBorder="1" applyAlignment="1">
      <alignment horizontal="right" vertical="center"/>
    </xf>
    <xf numFmtId="3" fontId="14" fillId="0" borderId="43" xfId="0" applyNumberFormat="1" applyFont="1" applyBorder="1" applyAlignment="1">
      <alignment horizontal="left" vertical="center"/>
    </xf>
    <xf numFmtId="49" fontId="0" fillId="0" borderId="32" xfId="0" applyNumberFormat="1" applyBorder="1" applyAlignment="1">
      <alignment horizontal="center" vertical="center"/>
    </xf>
    <xf numFmtId="3" fontId="11" fillId="0" borderId="43" xfId="0" applyNumberFormat="1" applyFont="1" applyBorder="1" applyAlignment="1">
      <alignment horizontal="right" vertical="center"/>
    </xf>
    <xf numFmtId="49" fontId="9" fillId="0" borderId="42" xfId="0" applyNumberFormat="1" applyFont="1" applyBorder="1" applyAlignment="1">
      <alignment horizontal="center" vertical="center"/>
    </xf>
    <xf numFmtId="49" fontId="0" fillId="0" borderId="42" xfId="0" applyNumberFormat="1" applyBorder="1" applyAlignment="1">
      <alignment horizontal="center" vertical="center"/>
    </xf>
    <xf numFmtId="49" fontId="10" fillId="0" borderId="6" xfId="0" applyNumberFormat="1" applyFont="1" applyBorder="1" applyAlignment="1">
      <alignment horizontal="left" vertical="center"/>
    </xf>
    <xf numFmtId="49" fontId="10" fillId="0" borderId="43" xfId="0" applyNumberFormat="1" applyFont="1" applyBorder="1" applyAlignment="1">
      <alignment horizontal="left" vertical="center"/>
    </xf>
    <xf numFmtId="0" fontId="0" fillId="0" borderId="42" xfId="0" applyBorder="1" applyAlignment="1">
      <alignment horizontal="center" vertical="center"/>
    </xf>
    <xf numFmtId="49" fontId="9" fillId="0" borderId="39" xfId="0" applyNumberFormat="1" applyFont="1" applyBorder="1" applyAlignment="1">
      <alignment horizontal="left" vertical="center"/>
    </xf>
    <xf numFmtId="0" fontId="9" fillId="0" borderId="0" xfId="0" applyFont="1" applyAlignment="1">
      <alignment horizontal="right" vertical="center"/>
    </xf>
    <xf numFmtId="171" fontId="0" fillId="0" borderId="0" xfId="0" applyNumberFormat="1"/>
    <xf numFmtId="1" fontId="0" fillId="0" borderId="0" xfId="0" applyNumberFormat="1"/>
    <xf numFmtId="0" fontId="9" fillId="0" borderId="42" xfId="0" applyFont="1" applyBorder="1" applyAlignment="1">
      <alignment horizontal="right" vertical="center"/>
    </xf>
    <xf numFmtId="0" fontId="9" fillId="0" borderId="42" xfId="0" applyFont="1" applyBorder="1"/>
    <xf numFmtId="0" fontId="9" fillId="0" borderId="43" xfId="0" applyFont="1" applyBorder="1" applyAlignment="1">
      <alignment horizontal="right" vertical="center"/>
    </xf>
    <xf numFmtId="0" fontId="9" fillId="0" borderId="43" xfId="0" applyFont="1" applyBorder="1"/>
    <xf numFmtId="49" fontId="11" fillId="0" borderId="32" xfId="4" applyNumberFormat="1" applyBorder="1" applyAlignment="1" applyProtection="1">
      <alignment horizontal="center" vertical="center"/>
      <protection locked="0"/>
    </xf>
    <xf numFmtId="3" fontId="11" fillId="0" borderId="0" xfId="2" applyNumberFormat="1" applyFont="1" applyFill="1" applyBorder="1" applyAlignment="1">
      <alignment horizontal="right" vertical="center"/>
    </xf>
    <xf numFmtId="3" fontId="11" fillId="0" borderId="43" xfId="2" applyNumberFormat="1" applyFont="1" applyFill="1" applyBorder="1" applyAlignment="1">
      <alignment horizontal="right" vertical="center"/>
    </xf>
    <xf numFmtId="49" fontId="11" fillId="0" borderId="32" xfId="1" applyNumberFormat="1" applyBorder="1" applyAlignment="1" applyProtection="1">
      <alignment horizontal="left" vertical="center"/>
      <protection locked="0"/>
    </xf>
    <xf numFmtId="37" fontId="11" fillId="0" borderId="0" xfId="1" applyAlignment="1" applyProtection="1">
      <alignment vertical="center"/>
      <protection locked="0"/>
    </xf>
    <xf numFmtId="3" fontId="11" fillId="0" borderId="0" xfId="1" applyNumberFormat="1" applyAlignment="1" applyProtection="1">
      <alignment horizontal="right" vertical="center"/>
      <protection locked="0"/>
    </xf>
    <xf numFmtId="166" fontId="11" fillId="0" borderId="0" xfId="1" applyNumberFormat="1" applyAlignment="1" applyProtection="1">
      <alignment horizontal="right" vertical="center"/>
      <protection locked="0"/>
    </xf>
    <xf numFmtId="49" fontId="11" fillId="0" borderId="38" xfId="1" applyNumberFormat="1" applyBorder="1" applyAlignment="1" applyProtection="1">
      <alignment horizontal="left" vertical="center" indent="1"/>
      <protection locked="0"/>
    </xf>
    <xf numFmtId="166" fontId="11" fillId="0" borderId="0" xfId="0" applyNumberFormat="1" applyFont="1" applyAlignment="1">
      <alignment horizontal="right" vertical="center"/>
    </xf>
    <xf numFmtId="49" fontId="11" fillId="0" borderId="0" xfId="0" applyNumberFormat="1" applyFont="1" applyAlignment="1">
      <alignment horizontal="right" vertical="center"/>
    </xf>
    <xf numFmtId="3" fontId="11" fillId="0" borderId="0" xfId="0" quotePrefix="1" applyNumberFormat="1" applyFont="1" applyAlignment="1">
      <alignment horizontal="right" vertical="center"/>
    </xf>
    <xf numFmtId="49" fontId="11" fillId="0" borderId="38" xfId="1" applyNumberFormat="1" applyBorder="1" applyAlignment="1" applyProtection="1">
      <alignment horizontal="left" vertical="center" indent="2"/>
      <protection locked="0"/>
    </xf>
    <xf numFmtId="37" fontId="11" fillId="0" borderId="32" xfId="1" applyBorder="1" applyAlignment="1" applyProtection="1">
      <alignment vertical="center"/>
      <protection locked="0"/>
    </xf>
    <xf numFmtId="3" fontId="11" fillId="0" borderId="38" xfId="0" applyNumberFormat="1" applyFont="1" applyBorder="1" applyAlignment="1">
      <alignment horizontal="right" vertical="center"/>
    </xf>
    <xf numFmtId="3" fontId="11" fillId="0" borderId="38" xfId="0" applyNumberFormat="1" applyFont="1" applyBorder="1" applyAlignment="1">
      <alignment vertical="center"/>
    </xf>
    <xf numFmtId="0" fontId="11" fillId="0" borderId="38" xfId="0" applyFont="1" applyBorder="1" applyAlignment="1">
      <alignment vertical="center"/>
    </xf>
    <xf numFmtId="166" fontId="11" fillId="0" borderId="38" xfId="0" applyNumberFormat="1" applyFont="1" applyBorder="1" applyAlignment="1">
      <alignment horizontal="right" vertical="center"/>
    </xf>
    <xf numFmtId="49" fontId="11" fillId="0" borderId="32" xfId="18" applyNumberFormat="1" applyBorder="1" applyAlignment="1" applyProtection="1">
      <alignment horizontal="right" vertical="center"/>
      <protection locked="0"/>
    </xf>
    <xf numFmtId="3" fontId="11" fillId="0" borderId="0" xfId="17" applyNumberFormat="1" applyAlignment="1">
      <alignment horizontal="right" vertical="center"/>
    </xf>
    <xf numFmtId="3" fontId="11" fillId="0" borderId="12" xfId="17" applyNumberFormat="1" applyBorder="1" applyAlignment="1">
      <alignment horizontal="right" vertical="center"/>
    </xf>
    <xf numFmtId="3" fontId="11" fillId="0" borderId="0" xfId="18" applyNumberFormat="1" applyAlignment="1">
      <alignment horizontal="right" vertical="center"/>
    </xf>
    <xf numFmtId="3" fontId="11" fillId="0" borderId="0" xfId="18" applyNumberFormat="1" applyAlignment="1" applyProtection="1">
      <alignment horizontal="right" vertical="center"/>
      <protection locked="0"/>
    </xf>
    <xf numFmtId="49" fontId="11" fillId="0" borderId="38" xfId="6" applyNumberFormat="1" applyBorder="1" applyAlignment="1" applyProtection="1">
      <alignment horizontal="left" vertical="center"/>
      <protection locked="0"/>
    </xf>
    <xf numFmtId="37" fontId="11" fillId="0" borderId="0" xfId="6" applyAlignment="1" applyProtection="1">
      <alignment vertical="center"/>
      <protection locked="0"/>
    </xf>
    <xf numFmtId="3" fontId="11" fillId="0" borderId="0" xfId="6" applyNumberFormat="1" applyAlignment="1" applyProtection="1">
      <alignment horizontal="right" vertical="center"/>
      <protection locked="0"/>
    </xf>
    <xf numFmtId="1" fontId="11" fillId="0" borderId="0" xfId="6" applyNumberFormat="1" applyAlignment="1" applyProtection="1">
      <alignment horizontal="left" vertical="center"/>
      <protection locked="0"/>
    </xf>
    <xf numFmtId="49" fontId="11" fillId="0" borderId="38" xfId="6" applyNumberFormat="1" applyBorder="1" applyAlignment="1" applyProtection="1">
      <alignment horizontal="left" vertical="center" indent="1"/>
      <protection locked="0"/>
    </xf>
    <xf numFmtId="3" fontId="13" fillId="0" borderId="44" xfId="0" applyNumberFormat="1" applyFont="1" applyBorder="1" applyAlignment="1">
      <alignment horizontal="right" vertical="center"/>
    </xf>
    <xf numFmtId="49" fontId="11" fillId="0" borderId="38" xfId="6" applyNumberFormat="1" applyBorder="1" applyAlignment="1" applyProtection="1">
      <alignment horizontal="left" vertical="center" indent="2"/>
      <protection locked="0"/>
    </xf>
    <xf numFmtId="37" fontId="11" fillId="0" borderId="32" xfId="6" applyBorder="1" applyAlignment="1" applyProtection="1">
      <alignment vertical="center"/>
      <protection locked="0"/>
    </xf>
    <xf numFmtId="49" fontId="11" fillId="0" borderId="42" xfId="8" applyNumberFormat="1" applyBorder="1" applyAlignment="1" applyProtection="1">
      <alignment horizontal="center" vertical="center"/>
      <protection locked="0"/>
    </xf>
    <xf numFmtId="169" fontId="11" fillId="0" borderId="0" xfId="0" applyNumberFormat="1" applyFont="1" applyAlignment="1">
      <alignment horizontal="right" vertical="center"/>
    </xf>
    <xf numFmtId="168" fontId="11" fillId="0" borderId="0" xfId="0" applyNumberFormat="1" applyFont="1" applyAlignment="1">
      <alignment horizontal="right" vertical="center"/>
    </xf>
    <xf numFmtId="49" fontId="17" fillId="0" borderId="0" xfId="0" applyNumberFormat="1" applyFont="1" applyAlignment="1">
      <alignment horizontal="left"/>
    </xf>
    <xf numFmtId="4" fontId="11" fillId="0" borderId="0" xfId="0" applyNumberFormat="1" applyFont="1" applyAlignment="1">
      <alignment horizontal="right" vertical="center"/>
    </xf>
    <xf numFmtId="49" fontId="17" fillId="0" borderId="26" xfId="0" applyNumberFormat="1" applyFont="1" applyBorder="1" applyAlignment="1">
      <alignment horizontal="left" vertical="center"/>
    </xf>
    <xf numFmtId="49" fontId="17" fillId="0" borderId="43" xfId="0" applyNumberFormat="1" applyFont="1" applyBorder="1" applyAlignment="1">
      <alignment horizontal="left" vertical="center"/>
    </xf>
    <xf numFmtId="49" fontId="11" fillId="0" borderId="43" xfId="2" applyNumberFormat="1" applyFont="1" applyFill="1" applyBorder="1" applyAlignment="1">
      <alignment horizontal="right" vertical="center"/>
    </xf>
    <xf numFmtId="49" fontId="12" fillId="0" borderId="43" xfId="0" applyNumberFormat="1" applyFont="1" applyBorder="1" applyAlignment="1">
      <alignment horizontal="left" vertical="center"/>
    </xf>
    <xf numFmtId="49" fontId="11" fillId="0" borderId="43" xfId="0" applyNumberFormat="1" applyFont="1" applyBorder="1" applyAlignment="1">
      <alignment horizontal="right" vertical="center"/>
    </xf>
    <xf numFmtId="3" fontId="17" fillId="0" borderId="42" xfId="0" applyNumberFormat="1" applyFont="1" applyBorder="1" applyAlignment="1">
      <alignment horizontal="left" vertical="center"/>
    </xf>
    <xf numFmtId="49" fontId="11" fillId="0" borderId="25" xfId="9" applyNumberFormat="1" applyBorder="1" applyAlignment="1" applyProtection="1">
      <alignment horizontal="center" vertical="center"/>
      <protection locked="0"/>
    </xf>
    <xf numFmtId="49" fontId="11" fillId="0" borderId="32" xfId="8" applyNumberFormat="1" applyBorder="1" applyAlignment="1" applyProtection="1">
      <alignment horizontal="center" vertical="center"/>
      <protection locked="0"/>
    </xf>
    <xf numFmtId="3" fontId="37" fillId="0" borderId="0" xfId="0" applyNumberFormat="1" applyFont="1" applyAlignment="1">
      <alignment horizontal="right"/>
    </xf>
    <xf numFmtId="49" fontId="38" fillId="0" borderId="0" xfId="0" applyNumberFormat="1" applyFont="1" applyAlignment="1">
      <alignment horizontal="left" vertical="center"/>
    </xf>
    <xf numFmtId="49" fontId="37" fillId="0" borderId="0" xfId="0" applyNumberFormat="1" applyFont="1" applyAlignment="1">
      <alignment horizontal="right"/>
    </xf>
    <xf numFmtId="49" fontId="11" fillId="0" borderId="43" xfId="0" quotePrefix="1" applyNumberFormat="1" applyFont="1" applyBorder="1" applyAlignment="1">
      <alignment horizontal="right" vertical="center"/>
    </xf>
    <xf numFmtId="49" fontId="15" fillId="0" borderId="43" xfId="0" quotePrefix="1" applyNumberFormat="1" applyFont="1" applyBorder="1" applyAlignment="1">
      <alignment horizontal="right"/>
    </xf>
    <xf numFmtId="49" fontId="11" fillId="0" borderId="38" xfId="10" applyNumberFormat="1" applyBorder="1" applyAlignment="1" applyProtection="1">
      <alignment horizontal="left" vertical="center"/>
      <protection locked="0"/>
    </xf>
    <xf numFmtId="0" fontId="11" fillId="0" borderId="38" xfId="10" applyBorder="1" applyAlignment="1" applyProtection="1">
      <alignment vertical="center"/>
      <protection locked="0"/>
    </xf>
    <xf numFmtId="3" fontId="12" fillId="0" borderId="0" xfId="0" applyNumberFormat="1" applyFont="1" applyAlignment="1">
      <alignment horizontal="right" vertical="center"/>
    </xf>
    <xf numFmtId="3" fontId="12" fillId="0" borderId="43" xfId="0" applyNumberFormat="1" applyFont="1" applyBorder="1" applyAlignment="1">
      <alignment horizontal="right" vertical="center"/>
    </xf>
    <xf numFmtId="3" fontId="11" fillId="0" borderId="6" xfId="0" applyNumberFormat="1" applyFont="1" applyBorder="1" applyAlignment="1">
      <alignment horizontal="right" vertical="center"/>
    </xf>
    <xf numFmtId="49" fontId="12" fillId="0" borderId="6" xfId="0" applyNumberFormat="1" applyFont="1" applyBorder="1" applyAlignment="1">
      <alignment horizontal="left" vertical="center"/>
    </xf>
    <xf numFmtId="3" fontId="12" fillId="0" borderId="6" xfId="0" applyNumberFormat="1" applyFont="1" applyBorder="1" applyAlignment="1">
      <alignment horizontal="right" vertical="center"/>
    </xf>
    <xf numFmtId="49" fontId="11" fillId="0" borderId="38" xfId="10" applyNumberFormat="1" applyBorder="1" applyAlignment="1" applyProtection="1">
      <alignment horizontal="right" vertical="center"/>
      <protection locked="0"/>
    </xf>
    <xf numFmtId="49" fontId="13" fillId="0" borderId="44" xfId="0" applyNumberFormat="1" applyFont="1" applyBorder="1" applyAlignment="1">
      <alignment horizontal="center" vertical="center"/>
    </xf>
    <xf numFmtId="3" fontId="13" fillId="0" borderId="44" xfId="0" applyNumberFormat="1" applyFont="1" applyBorder="1"/>
    <xf numFmtId="49" fontId="11" fillId="0" borderId="38" xfId="16" applyNumberFormat="1" applyBorder="1" applyAlignment="1" applyProtection="1">
      <alignment horizontal="left" vertical="center"/>
      <protection locked="0"/>
    </xf>
    <xf numFmtId="1" fontId="9" fillId="0" borderId="42" xfId="0" applyNumberFormat="1" applyFont="1" applyBorder="1" applyAlignment="1">
      <alignment horizontal="right" vertical="center"/>
    </xf>
    <xf numFmtId="1" fontId="9" fillId="0" borderId="0" xfId="0" applyNumberFormat="1" applyFont="1" applyAlignment="1">
      <alignment horizontal="right" vertical="center"/>
    </xf>
    <xf numFmtId="1" fontId="9" fillId="0" borderId="43" xfId="0" applyNumberFormat="1" applyFont="1" applyBorder="1" applyAlignment="1">
      <alignment horizontal="right" vertical="center"/>
    </xf>
    <xf numFmtId="49" fontId="21" fillId="0" borderId="0" xfId="0" applyNumberFormat="1" applyFont="1" applyAlignment="1">
      <alignment horizontal="right" vertical="center"/>
    </xf>
    <xf numFmtId="49" fontId="14" fillId="0" borderId="15" xfId="56" applyNumberFormat="1" applyFont="1" applyBorder="1" applyAlignment="1">
      <alignment horizontal="left" vertical="center"/>
    </xf>
    <xf numFmtId="3" fontId="13" fillId="0" borderId="15" xfId="56" applyNumberFormat="1" applyFont="1" applyBorder="1" applyAlignment="1">
      <alignment horizontal="right" vertical="center"/>
    </xf>
    <xf numFmtId="0" fontId="0" fillId="0" borderId="45" xfId="0" applyBorder="1"/>
    <xf numFmtId="0" fontId="0" fillId="0" borderId="15" xfId="0" applyBorder="1"/>
    <xf numFmtId="49" fontId="12" fillId="0" borderId="15" xfId="0" applyNumberFormat="1" applyFont="1" applyBorder="1" applyAlignment="1">
      <alignment horizontal="left" vertical="center"/>
    </xf>
    <xf numFmtId="49" fontId="13" fillId="0" borderId="46" xfId="0" applyNumberFormat="1" applyFont="1" applyBorder="1" applyAlignment="1">
      <alignment horizontal="left" vertical="center"/>
    </xf>
    <xf numFmtId="49" fontId="13" fillId="0" borderId="32" xfId="0" applyNumberFormat="1" applyFont="1" applyBorder="1" applyAlignment="1">
      <alignment horizontal="left" vertical="center"/>
    </xf>
    <xf numFmtId="49" fontId="11" fillId="0" borderId="45" xfId="24" applyNumberFormat="1" applyBorder="1" applyAlignment="1" applyProtection="1">
      <alignment horizontal="left" vertical="center" indent="1"/>
      <protection locked="0"/>
    </xf>
    <xf numFmtId="49" fontId="13" fillId="0" borderId="45" xfId="0" applyNumberFormat="1" applyFont="1" applyBorder="1" applyAlignment="1">
      <alignment horizontal="left" vertical="center" indent="1"/>
    </xf>
    <xf numFmtId="49" fontId="13" fillId="0" borderId="15" xfId="0" applyNumberFormat="1" applyFont="1" applyBorder="1" applyAlignment="1">
      <alignment horizontal="left" vertical="center" indent="1"/>
    </xf>
    <xf numFmtId="3" fontId="13" fillId="0" borderId="43" xfId="0" applyNumberFormat="1" applyFont="1" applyBorder="1"/>
    <xf numFmtId="3" fontId="13" fillId="0" borderId="15" xfId="0" applyNumberFormat="1" applyFont="1" applyBorder="1" applyAlignment="1">
      <alignment horizontal="right" vertical="center"/>
    </xf>
    <xf numFmtId="49" fontId="13" fillId="0" borderId="46" xfId="0" applyNumberFormat="1" applyFont="1" applyBorder="1" applyAlignment="1">
      <alignment horizontal="left" vertical="center" indent="1"/>
    </xf>
    <xf numFmtId="3" fontId="0" fillId="0" borderId="0" xfId="0" applyNumberFormat="1" applyAlignment="1">
      <alignment horizontal="left" vertical="center"/>
    </xf>
    <xf numFmtId="49" fontId="13" fillId="0" borderId="0" xfId="0" applyNumberFormat="1" applyFont="1" applyAlignment="1">
      <alignment horizontal="left" vertical="center" indent="1"/>
    </xf>
    <xf numFmtId="49" fontId="13" fillId="0" borderId="19" xfId="0" applyNumberFormat="1" applyFont="1" applyBorder="1" applyAlignment="1">
      <alignment horizontal="left" vertical="center" indent="2"/>
    </xf>
    <xf numFmtId="49" fontId="13" fillId="0" borderId="29" xfId="0" applyNumberFormat="1" applyFont="1" applyBorder="1" applyAlignment="1">
      <alignment horizontal="left" vertical="center" indent="1"/>
    </xf>
    <xf numFmtId="3" fontId="7" fillId="0" borderId="0" xfId="0" applyNumberFormat="1" applyFont="1"/>
    <xf numFmtId="3" fontId="7" fillId="0" borderId="0" xfId="0" applyNumberFormat="1" applyFont="1" applyAlignment="1">
      <alignment horizontal="right" vertical="center"/>
    </xf>
    <xf numFmtId="49" fontId="7" fillId="0" borderId="23" xfId="0" applyNumberFormat="1" applyFont="1" applyBorder="1" applyAlignment="1">
      <alignment horizontal="left" vertical="center"/>
    </xf>
    <xf numFmtId="49" fontId="7" fillId="0" borderId="0" xfId="0" applyNumberFormat="1" applyFont="1" applyAlignment="1">
      <alignment horizontal="center" vertical="center"/>
    </xf>
    <xf numFmtId="49" fontId="11" fillId="0" borderId="26" xfId="10" applyNumberFormat="1" applyBorder="1" applyAlignment="1" applyProtection="1">
      <alignment horizontal="center" vertical="center"/>
      <protection locked="0"/>
    </xf>
    <xf numFmtId="49" fontId="7" fillId="0" borderId="39" xfId="0" applyNumberFormat="1" applyFont="1" applyBorder="1" applyAlignment="1">
      <alignment horizontal="left" vertical="center" indent="1"/>
    </xf>
    <xf numFmtId="49" fontId="7" fillId="0" borderId="42" xfId="0" applyNumberFormat="1" applyFont="1" applyBorder="1" applyAlignment="1">
      <alignment horizontal="center" vertical="center"/>
    </xf>
    <xf numFmtId="9" fontId="9" fillId="0" borderId="0" xfId="3" applyFont="1"/>
    <xf numFmtId="9" fontId="9" fillId="0" borderId="0" xfId="3" applyFont="1" applyFill="1"/>
    <xf numFmtId="9" fontId="0" fillId="0" borderId="0" xfId="3" applyFont="1"/>
    <xf numFmtId="49" fontId="14" fillId="0" borderId="26" xfId="16" applyNumberFormat="1" applyFont="1" applyBorder="1" applyAlignment="1" applyProtection="1">
      <alignment horizontal="left" vertical="center"/>
      <protection locked="0"/>
    </xf>
    <xf numFmtId="3" fontId="9" fillId="0" borderId="26" xfId="0" applyNumberFormat="1" applyFont="1" applyBorder="1" applyAlignment="1">
      <alignment horizontal="right"/>
    </xf>
    <xf numFmtId="3" fontId="9" fillId="0" borderId="14" xfId="0" applyNumberFormat="1" applyFont="1" applyBorder="1" applyAlignment="1">
      <alignment horizontal="right"/>
    </xf>
    <xf numFmtId="3" fontId="9" fillId="0" borderId="15" xfId="0" applyNumberFormat="1" applyFont="1" applyBorder="1" applyAlignment="1">
      <alignment horizontal="right"/>
    </xf>
    <xf numFmtId="3" fontId="11" fillId="0" borderId="15" xfId="2" applyNumberFormat="1" applyFont="1" applyFill="1" applyBorder="1" applyAlignment="1">
      <alignment horizontal="right" vertical="center"/>
    </xf>
    <xf numFmtId="49" fontId="12" fillId="0" borderId="0" xfId="0" applyNumberFormat="1" applyFont="1" applyAlignment="1">
      <alignment horizontal="left" vertical="center"/>
    </xf>
    <xf numFmtId="168" fontId="0" fillId="0" borderId="0" xfId="0" applyNumberFormat="1"/>
    <xf numFmtId="49" fontId="13" fillId="0" borderId="49" xfId="0" applyNumberFormat="1" applyFont="1" applyBorder="1" applyAlignment="1">
      <alignment horizontal="left" vertical="center"/>
    </xf>
    <xf numFmtId="173" fontId="13" fillId="0" borderId="0" xfId="0" applyNumberFormat="1" applyFont="1"/>
    <xf numFmtId="49" fontId="11" fillId="0" borderId="38" xfId="0" applyNumberFormat="1" applyFont="1" applyBorder="1" applyAlignment="1">
      <alignment horizontal="left" vertical="center"/>
    </xf>
    <xf numFmtId="173" fontId="0" fillId="0" borderId="0" xfId="0" applyNumberFormat="1"/>
    <xf numFmtId="3" fontId="13" fillId="0" borderId="43" xfId="0" quotePrefix="1" applyNumberFormat="1" applyFont="1" applyBorder="1" applyAlignment="1">
      <alignment horizontal="right"/>
    </xf>
    <xf numFmtId="49" fontId="13" fillId="0" borderId="43" xfId="0" applyNumberFormat="1" applyFont="1" applyBorder="1"/>
    <xf numFmtId="49" fontId="12" fillId="0" borderId="0" xfId="22" applyNumberFormat="1" applyFont="1" applyAlignment="1">
      <alignment horizontal="left" vertical="center"/>
    </xf>
    <xf numFmtId="49" fontId="12" fillId="0" borderId="21" xfId="22" applyNumberFormat="1" applyFont="1" applyBorder="1" applyAlignment="1">
      <alignment horizontal="left" vertical="center"/>
    </xf>
    <xf numFmtId="49" fontId="12" fillId="0" borderId="6" xfId="22" applyNumberFormat="1" applyFont="1" applyBorder="1" applyAlignment="1">
      <alignment horizontal="left" vertical="center"/>
    </xf>
    <xf numFmtId="49" fontId="10" fillId="0" borderId="15" xfId="0" applyNumberFormat="1" applyFont="1" applyBorder="1" applyAlignment="1">
      <alignment horizontal="left" vertical="center"/>
    </xf>
    <xf numFmtId="49" fontId="12" fillId="0" borderId="50" xfId="22" applyNumberFormat="1" applyFont="1" applyBorder="1" applyAlignment="1">
      <alignment horizontal="left" vertical="center"/>
    </xf>
    <xf numFmtId="49" fontId="11" fillId="0" borderId="15" xfId="1" applyNumberFormat="1" applyBorder="1" applyAlignment="1" applyProtection="1">
      <alignment horizontal="center" vertical="center"/>
      <protection locked="0"/>
    </xf>
    <xf numFmtId="3" fontId="7" fillId="0" borderId="0" xfId="0" applyNumberFormat="1" applyFont="1" applyAlignment="1">
      <alignment horizontal="right"/>
    </xf>
    <xf numFmtId="49" fontId="7" fillId="0" borderId="0" xfId="0" applyNumberFormat="1" applyFont="1" applyAlignment="1">
      <alignment horizontal="left" vertical="center"/>
    </xf>
    <xf numFmtId="166" fontId="7" fillId="0" borderId="0" xfId="0" applyNumberFormat="1" applyFont="1" applyAlignment="1">
      <alignment horizontal="right" vertical="center"/>
    </xf>
    <xf numFmtId="49" fontId="7" fillId="0" borderId="0" xfId="0" applyNumberFormat="1" applyFont="1" applyAlignment="1">
      <alignment horizontal="right" vertical="center"/>
    </xf>
    <xf numFmtId="49" fontId="7" fillId="0" borderId="0" xfId="0" applyNumberFormat="1" applyFont="1" applyAlignment="1">
      <alignment horizontal="right"/>
    </xf>
    <xf numFmtId="3" fontId="7" fillId="0" borderId="51" xfId="0" applyNumberFormat="1" applyFont="1" applyBorder="1" applyAlignment="1">
      <alignment horizontal="right" vertical="center"/>
    </xf>
    <xf numFmtId="3" fontId="7" fillId="0" borderId="51" xfId="0" applyNumberFormat="1" applyFont="1" applyBorder="1" applyAlignment="1">
      <alignment horizontal="right"/>
    </xf>
    <xf numFmtId="49" fontId="10" fillId="0" borderId="51" xfId="0" applyNumberFormat="1" applyFont="1" applyBorder="1" applyAlignment="1">
      <alignment horizontal="left" vertical="center"/>
    </xf>
    <xf numFmtId="166" fontId="7" fillId="0" borderId="51" xfId="0" applyNumberFormat="1" applyFont="1" applyBorder="1" applyAlignment="1">
      <alignment horizontal="right" vertical="center"/>
    </xf>
    <xf numFmtId="3" fontId="7" fillId="0" borderId="43" xfId="0" applyNumberFormat="1" applyFont="1" applyBorder="1" applyAlignment="1">
      <alignment horizontal="right" vertical="center"/>
    </xf>
    <xf numFmtId="3" fontId="7" fillId="0" borderId="43" xfId="0" applyNumberFormat="1" applyFont="1" applyBorder="1" applyAlignment="1">
      <alignment horizontal="right"/>
    </xf>
    <xf numFmtId="3" fontId="7" fillId="0" borderId="15" xfId="0" applyNumberFormat="1" applyFont="1" applyBorder="1" applyAlignment="1">
      <alignment horizontal="right" vertical="center"/>
    </xf>
    <xf numFmtId="3" fontId="7" fillId="0" borderId="15" xfId="0" applyNumberFormat="1" applyFont="1" applyBorder="1" applyAlignment="1">
      <alignment horizontal="right"/>
    </xf>
    <xf numFmtId="166" fontId="7" fillId="0" borderId="6" xfId="0" applyNumberFormat="1" applyFont="1" applyBorder="1" applyAlignment="1">
      <alignment horizontal="right" vertical="center"/>
    </xf>
    <xf numFmtId="49" fontId="7" fillId="0" borderId="15" xfId="0" applyNumberFormat="1" applyFont="1" applyBorder="1" applyAlignment="1">
      <alignment horizontal="right" vertical="center"/>
    </xf>
    <xf numFmtId="49" fontId="7" fillId="0" borderId="15" xfId="0" applyNumberFormat="1" applyFont="1" applyBorder="1" applyAlignment="1">
      <alignment horizontal="right"/>
    </xf>
    <xf numFmtId="49" fontId="7" fillId="0" borderId="43" xfId="0" applyNumberFormat="1" applyFont="1" applyBorder="1" applyAlignment="1">
      <alignment horizontal="right" vertical="center"/>
    </xf>
    <xf numFmtId="49" fontId="7" fillId="0" borderId="43" xfId="0" applyNumberFormat="1" applyFont="1" applyBorder="1" applyAlignment="1">
      <alignment horizontal="right"/>
    </xf>
    <xf numFmtId="3" fontId="7" fillId="0" borderId="6" xfId="0" applyNumberFormat="1" applyFont="1" applyBorder="1" applyAlignment="1">
      <alignment horizontal="right" vertical="center"/>
    </xf>
    <xf numFmtId="3" fontId="7" fillId="0" borderId="6" xfId="0" applyNumberFormat="1" applyFont="1" applyBorder="1" applyAlignment="1">
      <alignment horizontal="right"/>
    </xf>
    <xf numFmtId="0" fontId="7" fillId="0" borderId="0" xfId="0" applyFont="1"/>
    <xf numFmtId="0" fontId="7" fillId="0" borderId="15" xfId="0" applyFont="1" applyBorder="1"/>
    <xf numFmtId="0" fontId="7" fillId="0" borderId="43" xfId="0" applyFont="1" applyBorder="1"/>
    <xf numFmtId="0" fontId="7" fillId="0" borderId="0" xfId="0" applyFont="1" applyAlignment="1">
      <alignment horizontal="right" vertical="center"/>
    </xf>
    <xf numFmtId="0" fontId="41" fillId="0" borderId="0" xfId="0" applyFont="1" applyAlignment="1">
      <alignment horizontal="right" vertical="center"/>
    </xf>
    <xf numFmtId="49" fontId="14" fillId="0" borderId="15" xfId="16" applyNumberFormat="1" applyFont="1" applyBorder="1" applyAlignment="1" applyProtection="1">
      <alignment horizontal="left" vertical="center"/>
      <protection locked="0"/>
    </xf>
    <xf numFmtId="49" fontId="11" fillId="0" borderId="0" xfId="5" quotePrefix="1" applyNumberFormat="1" applyAlignment="1" applyProtection="1">
      <alignment horizontal="right" vertical="center"/>
      <protection locked="0"/>
    </xf>
    <xf numFmtId="49" fontId="11" fillId="0" borderId="15" xfId="5" quotePrefix="1" applyNumberFormat="1" applyBorder="1" applyAlignment="1" applyProtection="1">
      <alignment horizontal="right" vertical="center"/>
      <protection locked="0"/>
    </xf>
    <xf numFmtId="0" fontId="11" fillId="0" borderId="15" xfId="0" applyFont="1" applyBorder="1" applyAlignment="1">
      <alignment vertical="center"/>
    </xf>
    <xf numFmtId="3" fontId="11" fillId="0" borderId="51" xfId="0" applyNumberFormat="1" applyFont="1" applyBorder="1" applyAlignment="1">
      <alignment horizontal="right" vertical="center"/>
    </xf>
    <xf numFmtId="0" fontId="11" fillId="0" borderId="51" xfId="0" applyFont="1" applyBorder="1" applyAlignment="1">
      <alignment vertical="center"/>
    </xf>
    <xf numFmtId="0" fontId="12" fillId="0" borderId="51" xfId="0" applyFont="1" applyBorder="1" applyAlignment="1">
      <alignment horizontal="left" vertical="center"/>
    </xf>
    <xf numFmtId="3" fontId="11" fillId="0" borderId="0" xfId="5" quotePrefix="1" applyNumberFormat="1" applyAlignment="1" applyProtection="1">
      <alignment horizontal="right" vertical="center"/>
      <protection locked="0"/>
    </xf>
    <xf numFmtId="49" fontId="11" fillId="0" borderId="15" xfId="0" applyNumberFormat="1" applyFont="1" applyBorder="1" applyAlignment="1">
      <alignment vertical="center"/>
    </xf>
    <xf numFmtId="3" fontId="11" fillId="0" borderId="15" xfId="0" applyNumberFormat="1" applyFont="1" applyBorder="1" applyAlignment="1">
      <alignment horizontal="right" vertical="center"/>
    </xf>
    <xf numFmtId="49" fontId="11" fillId="0" borderId="15" xfId="0" applyNumberFormat="1" applyFont="1" applyBorder="1" applyAlignment="1">
      <alignment horizontal="right" vertical="center"/>
    </xf>
    <xf numFmtId="3" fontId="11" fillId="0" borderId="15" xfId="5" quotePrefix="1" applyNumberFormat="1" applyBorder="1" applyAlignment="1" applyProtection="1">
      <alignment horizontal="right" vertical="center"/>
      <protection locked="0"/>
    </xf>
    <xf numFmtId="0" fontId="11" fillId="0" borderId="15" xfId="5" quotePrefix="1" applyNumberFormat="1" applyBorder="1" applyAlignment="1" applyProtection="1">
      <alignment horizontal="right" vertical="center"/>
      <protection locked="0"/>
    </xf>
    <xf numFmtId="49" fontId="11" fillId="0" borderId="15" xfId="5" applyNumberFormat="1" applyBorder="1" applyAlignment="1" applyProtection="1">
      <alignment horizontal="center" vertical="center"/>
      <protection locked="0"/>
    </xf>
    <xf numFmtId="3" fontId="15" fillId="0" borderId="15" xfId="0" applyNumberFormat="1" applyFont="1" applyBorder="1"/>
    <xf numFmtId="49" fontId="11" fillId="0" borderId="51" xfId="5" applyNumberFormat="1" applyBorder="1" applyAlignment="1" applyProtection="1">
      <alignment horizontal="center" vertical="center"/>
      <protection locked="0"/>
    </xf>
    <xf numFmtId="3" fontId="11" fillId="0" borderId="51" xfId="17" applyNumberFormat="1" applyBorder="1" applyAlignment="1">
      <alignment horizontal="right" vertical="center"/>
    </xf>
    <xf numFmtId="3" fontId="11" fillId="0" borderId="51" xfId="18" applyNumberFormat="1" applyBorder="1" applyAlignment="1" applyProtection="1">
      <alignment horizontal="right" vertical="center"/>
      <protection locked="0"/>
    </xf>
    <xf numFmtId="3" fontId="11" fillId="0" borderId="12" xfId="18" applyNumberFormat="1" applyBorder="1" applyAlignment="1" applyProtection="1">
      <alignment horizontal="right" vertical="center"/>
      <protection locked="0"/>
    </xf>
    <xf numFmtId="3" fontId="22" fillId="0" borderId="0" xfId="18" applyNumberFormat="1" applyFont="1" applyAlignment="1" applyProtection="1">
      <alignment horizontal="right" vertical="center"/>
      <protection locked="0"/>
    </xf>
    <xf numFmtId="3" fontId="11" fillId="0" borderId="15" xfId="17" applyNumberFormat="1" applyBorder="1" applyAlignment="1">
      <alignment horizontal="right" vertical="center"/>
    </xf>
    <xf numFmtId="3" fontId="11" fillId="0" borderId="52" xfId="17" applyNumberFormat="1" applyBorder="1" applyAlignment="1">
      <alignment horizontal="right" vertical="center"/>
    </xf>
    <xf numFmtId="3" fontId="11" fillId="0" borderId="52" xfId="18" applyNumberFormat="1" applyBorder="1" applyAlignment="1" applyProtection="1">
      <alignment horizontal="right" vertical="center"/>
      <protection locked="0"/>
    </xf>
    <xf numFmtId="49" fontId="11" fillId="0" borderId="15" xfId="0" quotePrefix="1" applyNumberFormat="1" applyFont="1" applyBorder="1" applyAlignment="1">
      <alignment horizontal="right" vertical="center"/>
    </xf>
    <xf numFmtId="3" fontId="18" fillId="0" borderId="15" xfId="6" applyNumberFormat="1" applyFont="1" applyBorder="1" applyAlignment="1" applyProtection="1">
      <alignment horizontal="right" vertical="center"/>
      <protection locked="0"/>
    </xf>
    <xf numFmtId="3" fontId="11" fillId="0" borderId="15" xfId="0" quotePrefix="1" applyNumberFormat="1" applyFont="1" applyBorder="1" applyAlignment="1">
      <alignment horizontal="right" vertical="center"/>
    </xf>
    <xf numFmtId="3" fontId="19" fillId="0" borderId="15" xfId="0" applyNumberFormat="1" applyFont="1" applyBorder="1" applyAlignment="1">
      <alignment vertical="center"/>
    </xf>
    <xf numFmtId="1" fontId="19" fillId="0" borderId="15" xfId="6" applyNumberFormat="1" applyFont="1" applyBorder="1" applyAlignment="1" applyProtection="1">
      <alignment horizontal="left" vertical="center"/>
      <protection locked="0"/>
    </xf>
    <xf numFmtId="49" fontId="14" fillId="0" borderId="52" xfId="6" applyNumberFormat="1" applyFont="1" applyBorder="1" applyAlignment="1" applyProtection="1">
      <alignment horizontal="left" vertical="center"/>
      <protection locked="0"/>
    </xf>
    <xf numFmtId="167" fontId="12" fillId="0" borderId="0" xfId="8" applyNumberFormat="1" applyFont="1" applyAlignment="1" applyProtection="1">
      <alignment horizontal="left" vertical="center"/>
      <protection locked="0"/>
    </xf>
    <xf numFmtId="37" fontId="12" fillId="0" borderId="0" xfId="8" applyFont="1" applyAlignment="1" applyProtection="1">
      <alignment horizontal="left" vertical="center"/>
      <protection locked="0"/>
    </xf>
    <xf numFmtId="37" fontId="12" fillId="0" borderId="15" xfId="8" applyFont="1" applyBorder="1" applyAlignment="1" applyProtection="1">
      <alignment horizontal="left" vertical="center"/>
      <protection locked="0"/>
    </xf>
    <xf numFmtId="49" fontId="17" fillId="0" borderId="51" xfId="0" applyNumberFormat="1" applyFont="1" applyBorder="1" applyAlignment="1">
      <alignment horizontal="left" vertical="center"/>
    </xf>
    <xf numFmtId="4" fontId="11" fillId="0" borderId="51" xfId="0" applyNumberFormat="1" applyFont="1" applyBorder="1" applyAlignment="1">
      <alignment horizontal="right" vertical="center"/>
    </xf>
    <xf numFmtId="0" fontId="12" fillId="0" borderId="43" xfId="0" applyFont="1" applyBorder="1" applyAlignment="1">
      <alignment horizontal="left" vertical="center"/>
    </xf>
    <xf numFmtId="49" fontId="17" fillId="0" borderId="15" xfId="0" applyNumberFormat="1" applyFont="1" applyBorder="1" applyAlignment="1">
      <alignment horizontal="left" vertical="center"/>
    </xf>
    <xf numFmtId="49" fontId="11" fillId="0" borderId="15" xfId="2" applyNumberFormat="1" applyFont="1" applyFill="1" applyBorder="1" applyAlignment="1">
      <alignment horizontal="right" vertical="center"/>
    </xf>
    <xf numFmtId="3" fontId="12" fillId="0" borderId="15" xfId="0" applyNumberFormat="1" applyFont="1" applyBorder="1" applyAlignment="1">
      <alignment horizontal="left" vertical="center"/>
    </xf>
    <xf numFmtId="0" fontId="12" fillId="0" borderId="15" xfId="0" applyFont="1" applyBorder="1" applyAlignment="1">
      <alignment horizontal="left" vertical="center"/>
    </xf>
    <xf numFmtId="0" fontId="12" fillId="0" borderId="0" xfId="0" applyFont="1" applyAlignment="1">
      <alignment horizontal="left"/>
    </xf>
    <xf numFmtId="49" fontId="12" fillId="0" borderId="0" xfId="0" applyNumberFormat="1" applyFont="1" applyAlignment="1">
      <alignment horizontal="left"/>
    </xf>
    <xf numFmtId="0" fontId="12" fillId="0" borderId="15" xfId="0" applyFont="1" applyBorder="1" applyAlignment="1">
      <alignment horizontal="left"/>
    </xf>
    <xf numFmtId="49" fontId="12" fillId="0" borderId="43" xfId="0" applyNumberFormat="1" applyFont="1" applyBorder="1" applyAlignment="1">
      <alignment horizontal="left"/>
    </xf>
    <xf numFmtId="4" fontId="11" fillId="0" borderId="15" xfId="0" applyNumberFormat="1" applyFont="1" applyBorder="1" applyAlignment="1">
      <alignment horizontal="right" vertical="center"/>
    </xf>
    <xf numFmtId="2" fontId="13" fillId="0" borderId="46" xfId="10" applyNumberFormat="1" applyFont="1" applyBorder="1" applyAlignment="1" applyProtection="1">
      <alignment horizontal="right" vertical="center"/>
      <protection locked="0"/>
    </xf>
    <xf numFmtId="2" fontId="13" fillId="0" borderId="46" xfId="11" applyNumberFormat="1" applyFont="1" applyBorder="1" applyAlignment="1">
      <alignment horizontal="right" vertical="center"/>
    </xf>
    <xf numFmtId="0" fontId="13" fillId="0" borderId="46" xfId="11" applyFont="1" applyBorder="1" applyAlignment="1">
      <alignment horizontal="right" vertical="center"/>
    </xf>
    <xf numFmtId="3" fontId="11" fillId="0" borderId="0" xfId="0" applyNumberFormat="1" applyFont="1" applyAlignment="1">
      <alignment horizontal="left" vertical="center"/>
    </xf>
    <xf numFmtId="3" fontId="12" fillId="0" borderId="0" xfId="0" applyNumberFormat="1" applyFont="1" applyAlignment="1">
      <alignment horizontal="left" vertical="center"/>
    </xf>
    <xf numFmtId="3" fontId="12" fillId="0" borderId="15" xfId="0" applyNumberFormat="1" applyFont="1" applyBorder="1" applyAlignment="1">
      <alignment horizontal="right" vertical="center"/>
    </xf>
    <xf numFmtId="49" fontId="11" fillId="0" borderId="46" xfId="14" applyNumberFormat="1" applyBorder="1" applyAlignment="1" applyProtection="1">
      <alignment horizontal="left" vertical="center" indent="1"/>
      <protection locked="0"/>
    </xf>
    <xf numFmtId="49" fontId="12" fillId="0" borderId="0" xfId="18" applyNumberFormat="1" applyFont="1" applyAlignment="1" applyProtection="1">
      <alignment horizontal="left" vertical="center"/>
      <protection locked="0"/>
    </xf>
    <xf numFmtId="49" fontId="12" fillId="0" borderId="0" xfId="2" applyNumberFormat="1" applyFont="1" applyBorder="1" applyAlignment="1">
      <alignment horizontal="left" vertical="center"/>
    </xf>
    <xf numFmtId="49" fontId="12" fillId="0" borderId="43" xfId="2" applyNumberFormat="1" applyFont="1" applyBorder="1" applyAlignment="1">
      <alignment horizontal="left" vertical="center"/>
    </xf>
    <xf numFmtId="49" fontId="11" fillId="0" borderId="0" xfId="2" applyNumberFormat="1" applyFont="1" applyFill="1" applyBorder="1" applyAlignment="1">
      <alignment horizontal="right" vertical="center"/>
    </xf>
    <xf numFmtId="49" fontId="7" fillId="0" borderId="0" xfId="0" quotePrefix="1" applyNumberFormat="1" applyFont="1" applyAlignment="1">
      <alignment horizontal="right" vertical="center"/>
    </xf>
    <xf numFmtId="0" fontId="7" fillId="0" borderId="0" xfId="0" quotePrefix="1" applyFont="1" applyAlignment="1">
      <alignment horizontal="right" vertical="center"/>
    </xf>
    <xf numFmtId="3" fontId="18" fillId="0" borderId="0" xfId="0" applyNumberFormat="1" applyFont="1" applyAlignment="1">
      <alignment vertical="center"/>
    </xf>
    <xf numFmtId="3" fontId="18" fillId="0" borderId="15" xfId="0" applyNumberFormat="1" applyFont="1" applyBorder="1" applyAlignment="1">
      <alignment vertical="center"/>
    </xf>
    <xf numFmtId="3" fontId="11" fillId="0" borderId="10" xfId="5" applyNumberFormat="1" applyBorder="1" applyAlignment="1" applyProtection="1">
      <alignment horizontal="right" vertical="center"/>
      <protection locked="0"/>
    </xf>
    <xf numFmtId="0" fontId="11" fillId="0" borderId="10" xfId="0" applyFont="1" applyBorder="1" applyAlignment="1">
      <alignment vertical="center"/>
    </xf>
    <xf numFmtId="49" fontId="13" fillId="0" borderId="53" xfId="0" applyNumberFormat="1" applyFont="1" applyBorder="1" applyAlignment="1">
      <alignment horizontal="left" vertical="center" indent="1"/>
    </xf>
    <xf numFmtId="3" fontId="13" fillId="0" borderId="54" xfId="0" applyNumberFormat="1" applyFont="1" applyBorder="1" applyAlignment="1">
      <alignment horizontal="right" vertical="center"/>
    </xf>
    <xf numFmtId="0" fontId="0" fillId="0" borderId="54" xfId="0" applyBorder="1"/>
    <xf numFmtId="0" fontId="0" fillId="0" borderId="6" xfId="0" applyBorder="1"/>
    <xf numFmtId="0" fontId="12" fillId="0" borderId="43" xfId="22" applyFont="1" applyBorder="1" applyAlignment="1">
      <alignment horizontal="left"/>
    </xf>
    <xf numFmtId="3" fontId="14" fillId="0" borderId="54" xfId="0" applyNumberFormat="1" applyFont="1" applyBorder="1" applyAlignment="1">
      <alignment horizontal="left" vertical="center"/>
    </xf>
    <xf numFmtId="3" fontId="13" fillId="0" borderId="10" xfId="0" applyNumberFormat="1" applyFont="1" applyBorder="1" applyAlignment="1">
      <alignment vertical="center"/>
    </xf>
    <xf numFmtId="3" fontId="14" fillId="0" borderId="10" xfId="0" applyNumberFormat="1" applyFont="1" applyBorder="1" applyAlignment="1">
      <alignment horizontal="left" vertical="center"/>
    </xf>
    <xf numFmtId="3" fontId="13" fillId="0" borderId="55" xfId="0" applyNumberFormat="1" applyFont="1" applyBorder="1" applyAlignment="1">
      <alignment horizontal="right" vertical="center"/>
    </xf>
    <xf numFmtId="0" fontId="11" fillId="0" borderId="55" xfId="22" applyFont="1" applyBorder="1"/>
    <xf numFmtId="3" fontId="13" fillId="0" borderId="55" xfId="0" applyNumberFormat="1" applyFont="1" applyBorder="1"/>
    <xf numFmtId="49" fontId="13" fillId="0" borderId="55" xfId="0" applyNumberFormat="1" applyFont="1" applyBorder="1" applyAlignment="1">
      <alignment horizontal="right" vertical="center"/>
    </xf>
    <xf numFmtId="3" fontId="13" fillId="0" borderId="56" xfId="0" applyNumberFormat="1" applyFont="1" applyBorder="1" applyAlignment="1">
      <alignment horizontal="right" vertical="center"/>
    </xf>
    <xf numFmtId="0" fontId="11" fillId="0" borderId="56" xfId="22" applyFont="1" applyBorder="1"/>
    <xf numFmtId="3" fontId="13" fillId="0" borderId="56" xfId="0" applyNumberFormat="1" applyFont="1" applyBorder="1"/>
    <xf numFmtId="0" fontId="11" fillId="0" borderId="43" xfId="22" applyFont="1" applyBorder="1"/>
    <xf numFmtId="49" fontId="13" fillId="0" borderId="57" xfId="0" applyNumberFormat="1" applyFont="1" applyBorder="1" applyAlignment="1">
      <alignment horizontal="left" vertical="center"/>
    </xf>
    <xf numFmtId="3" fontId="13" fillId="0" borderId="55" xfId="0" applyNumberFormat="1" applyFont="1" applyBorder="1" applyAlignment="1">
      <alignment horizontal="right"/>
    </xf>
    <xf numFmtId="49" fontId="21" fillId="0" borderId="55" xfId="0" quotePrefix="1" applyNumberFormat="1" applyFont="1" applyBorder="1" applyAlignment="1">
      <alignment horizontal="right" vertical="center"/>
    </xf>
    <xf numFmtId="49" fontId="11" fillId="0" borderId="15" xfId="21" applyNumberFormat="1" applyBorder="1" applyAlignment="1" applyProtection="1">
      <alignment horizontal="center" vertical="center"/>
      <protection locked="0"/>
    </xf>
    <xf numFmtId="49" fontId="14" fillId="0" borderId="55" xfId="0" applyNumberFormat="1" applyFont="1" applyBorder="1" applyAlignment="1">
      <alignment horizontal="left" vertical="center"/>
    </xf>
    <xf numFmtId="49" fontId="23" fillId="0" borderId="0" xfId="0" applyNumberFormat="1" applyFont="1" applyAlignment="1">
      <alignment horizontal="center" vertical="center"/>
    </xf>
    <xf numFmtId="49" fontId="12" fillId="0" borderId="55" xfId="22" applyNumberFormat="1" applyFont="1" applyBorder="1" applyAlignment="1">
      <alignment horizontal="left" vertical="center"/>
    </xf>
    <xf numFmtId="49" fontId="13" fillId="0" borderId="15" xfId="0" applyNumberFormat="1" applyFont="1" applyBorder="1" applyAlignment="1">
      <alignment horizontal="center" vertical="center"/>
    </xf>
    <xf numFmtId="0" fontId="13" fillId="0" borderId="55" xfId="0" applyFont="1" applyBorder="1"/>
    <xf numFmtId="3" fontId="13" fillId="0" borderId="55" xfId="0" applyNumberFormat="1" applyFont="1" applyBorder="1" applyAlignment="1">
      <alignment horizontal="left" vertical="center"/>
    </xf>
    <xf numFmtId="49" fontId="12" fillId="0" borderId="0" xfId="19" applyNumberFormat="1" applyFont="1" applyAlignment="1" applyProtection="1">
      <alignment horizontal="center" vertical="center"/>
      <protection locked="0"/>
    </xf>
    <xf numFmtId="3" fontId="13" fillId="0" borderId="59" xfId="0" applyNumberFormat="1" applyFont="1" applyBorder="1" applyAlignment="1">
      <alignment horizontal="right" vertical="center"/>
    </xf>
    <xf numFmtId="0" fontId="12" fillId="0" borderId="4" xfId="10" applyFont="1" applyBorder="1" applyAlignment="1" applyProtection="1">
      <alignment horizontal="center" vertical="center"/>
      <protection locked="0"/>
    </xf>
    <xf numFmtId="49" fontId="12" fillId="0" borderId="32" xfId="21" applyNumberFormat="1" applyFont="1" applyBorder="1" applyAlignment="1" applyProtection="1">
      <alignment horizontal="center" vertical="center"/>
      <protection locked="0"/>
    </xf>
    <xf numFmtId="49" fontId="14" fillId="0" borderId="59" xfId="0" applyNumberFormat="1" applyFont="1" applyBorder="1" applyAlignment="1">
      <alignment horizontal="left" vertical="center"/>
    </xf>
    <xf numFmtId="4" fontId="14" fillId="0" borderId="59" xfId="0" applyNumberFormat="1" applyFont="1" applyBorder="1" applyAlignment="1">
      <alignment horizontal="left" vertical="center"/>
    </xf>
    <xf numFmtId="3" fontId="14" fillId="0" borderId="59" xfId="0" applyNumberFormat="1" applyFont="1" applyBorder="1" applyAlignment="1">
      <alignment horizontal="left"/>
    </xf>
    <xf numFmtId="4" fontId="14" fillId="0" borderId="58" xfId="0" applyNumberFormat="1" applyFont="1" applyBorder="1" applyAlignment="1">
      <alignment horizontal="left" vertical="center"/>
    </xf>
    <xf numFmtId="4" fontId="14" fillId="0" borderId="43" xfId="0" applyNumberFormat="1" applyFont="1" applyBorder="1" applyAlignment="1">
      <alignment horizontal="left" vertical="center"/>
    </xf>
    <xf numFmtId="3" fontId="14" fillId="0" borderId="58" xfId="0" applyNumberFormat="1" applyFont="1" applyBorder="1" applyAlignment="1">
      <alignment horizontal="left" vertical="center"/>
    </xf>
    <xf numFmtId="3" fontId="14" fillId="0" borderId="59" xfId="0" applyNumberFormat="1" applyFont="1" applyBorder="1" applyAlignment="1">
      <alignment horizontal="left" vertical="center"/>
    </xf>
    <xf numFmtId="3" fontId="12" fillId="0" borderId="59" xfId="22" applyNumberFormat="1" applyFont="1" applyBorder="1" applyAlignment="1">
      <alignment horizontal="left"/>
    </xf>
    <xf numFmtId="49" fontId="14" fillId="0" borderId="58" xfId="0" applyNumberFormat="1" applyFont="1" applyBorder="1" applyAlignment="1">
      <alignment horizontal="left" vertical="center"/>
    </xf>
    <xf numFmtId="3" fontId="12" fillId="0" borderId="58" xfId="22" applyNumberFormat="1" applyFont="1" applyBorder="1" applyAlignment="1">
      <alignment horizontal="left"/>
    </xf>
    <xf numFmtId="0" fontId="14" fillId="0" borderId="59" xfId="22" applyFont="1" applyBorder="1" applyAlignment="1">
      <alignment horizontal="left"/>
    </xf>
    <xf numFmtId="3" fontId="14" fillId="0" borderId="59" xfId="22" applyNumberFormat="1" applyFont="1" applyBorder="1" applyAlignment="1">
      <alignment horizontal="left"/>
    </xf>
    <xf numFmtId="49" fontId="14" fillId="0" borderId="15" xfId="0" applyNumberFormat="1" applyFont="1" applyBorder="1" applyAlignment="1">
      <alignment horizontal="left" vertical="center"/>
    </xf>
    <xf numFmtId="49" fontId="11" fillId="0" borderId="32" xfId="21" applyNumberFormat="1" applyBorder="1" applyAlignment="1" applyProtection="1">
      <alignment horizontal="center" vertical="center"/>
      <protection locked="0"/>
    </xf>
    <xf numFmtId="49" fontId="12" fillId="0" borderId="46" xfId="21" applyNumberFormat="1" applyFont="1" applyBorder="1" applyAlignment="1" applyProtection="1">
      <alignment horizontal="center" vertical="center"/>
      <protection locked="0"/>
    </xf>
    <xf numFmtId="0" fontId="0" fillId="0" borderId="59" xfId="0" applyBorder="1"/>
    <xf numFmtId="0" fontId="0" fillId="0" borderId="57" xfId="0" applyBorder="1" applyAlignment="1">
      <alignment horizontal="center" vertical="center"/>
    </xf>
    <xf numFmtId="49" fontId="23" fillId="0" borderId="58" xfId="0" applyNumberFormat="1" applyFont="1" applyBorder="1" applyAlignment="1">
      <alignment horizontal="center" vertical="center"/>
    </xf>
    <xf numFmtId="3" fontId="5" fillId="0" borderId="0" xfId="0" applyNumberFormat="1" applyFont="1"/>
    <xf numFmtId="49" fontId="11" fillId="0" borderId="0" xfId="22" applyNumberFormat="1" applyFont="1" applyAlignment="1">
      <alignment horizontal="left" vertical="center"/>
    </xf>
    <xf numFmtId="0" fontId="13" fillId="0" borderId="0" xfId="56" applyFont="1" applyAlignment="1">
      <alignment vertical="center"/>
    </xf>
    <xf numFmtId="3" fontId="13" fillId="0" borderId="0" xfId="56" applyNumberFormat="1" applyFont="1" applyAlignment="1">
      <alignment horizontal="right" vertical="center"/>
    </xf>
    <xf numFmtId="49" fontId="14" fillId="0" borderId="0" xfId="56" applyNumberFormat="1" applyFont="1" applyAlignment="1">
      <alignment horizontal="left" vertical="center"/>
    </xf>
    <xf numFmtId="49" fontId="13" fillId="0" borderId="15" xfId="56" applyNumberFormat="1" applyFont="1" applyBorder="1" applyAlignment="1">
      <alignment horizontal="left" vertical="center"/>
    </xf>
    <xf numFmtId="49" fontId="11" fillId="0" borderId="20" xfId="16" applyNumberFormat="1" applyBorder="1" applyAlignment="1" applyProtection="1">
      <alignment horizontal="left" vertical="center"/>
      <protection locked="0"/>
    </xf>
    <xf numFmtId="49" fontId="5" fillId="0" borderId="0" xfId="0" applyNumberFormat="1" applyFont="1" applyAlignment="1">
      <alignment horizontal="center" vertical="center"/>
    </xf>
    <xf numFmtId="49" fontId="5" fillId="0" borderId="15" xfId="0" applyNumberFormat="1" applyFont="1" applyBorder="1" applyAlignment="1">
      <alignment horizontal="left" vertical="center" indent="1"/>
    </xf>
    <xf numFmtId="49" fontId="5" fillId="0" borderId="29" xfId="0" applyNumberFormat="1" applyFont="1" applyBorder="1" applyAlignment="1">
      <alignment horizontal="left" vertical="center" indent="1"/>
    </xf>
    <xf numFmtId="49" fontId="5" fillId="0" borderId="23" xfId="0" applyNumberFormat="1" applyFont="1" applyBorder="1" applyAlignment="1">
      <alignment horizontal="left" vertical="center" indent="1"/>
    </xf>
    <xf numFmtId="49" fontId="21" fillId="0" borderId="15" xfId="0" applyNumberFormat="1" applyFont="1" applyBorder="1" applyAlignment="1">
      <alignment horizontal="right" vertical="center"/>
    </xf>
    <xf numFmtId="1" fontId="9" fillId="0" borderId="62" xfId="0" applyNumberFormat="1" applyFont="1" applyBorder="1" applyAlignment="1">
      <alignment horizontal="right" vertical="center"/>
    </xf>
    <xf numFmtId="0" fontId="9" fillId="0" borderId="62" xfId="0" applyFont="1" applyBorder="1"/>
    <xf numFmtId="0" fontId="9" fillId="0" borderId="62" xfId="0" applyFont="1" applyBorder="1" applyAlignment="1">
      <alignment horizontal="right" vertical="center"/>
    </xf>
    <xf numFmtId="0" fontId="7" fillId="0" borderId="62" xfId="0" applyFont="1" applyBorder="1"/>
    <xf numFmtId="49" fontId="12" fillId="0" borderId="63" xfId="0" applyNumberFormat="1" applyFont="1" applyBorder="1" applyAlignment="1">
      <alignment horizontal="left" vertical="center"/>
    </xf>
    <xf numFmtId="49" fontId="11" fillId="0" borderId="0" xfId="0" applyNumberFormat="1" applyFont="1" applyAlignment="1">
      <alignment horizontal="left" vertical="center"/>
    </xf>
    <xf numFmtId="49" fontId="13" fillId="0" borderId="64" xfId="0" applyNumberFormat="1" applyFont="1" applyBorder="1" applyAlignment="1">
      <alignment horizontal="left" vertical="center"/>
    </xf>
    <xf numFmtId="49" fontId="13" fillId="0" borderId="66" xfId="0" applyNumberFormat="1" applyFont="1" applyBorder="1" applyAlignment="1">
      <alignment horizontal="left" vertical="center" indent="1"/>
    </xf>
    <xf numFmtId="3" fontId="13" fillId="0" borderId="67" xfId="0" applyNumberFormat="1" applyFont="1" applyBorder="1" applyAlignment="1">
      <alignment horizontal="right" vertical="center"/>
    </xf>
    <xf numFmtId="0" fontId="11" fillId="0" borderId="67" xfId="22" applyFont="1" applyBorder="1"/>
    <xf numFmtId="3" fontId="13" fillId="0" borderId="67" xfId="0" applyNumberFormat="1" applyFont="1" applyBorder="1"/>
    <xf numFmtId="3" fontId="14" fillId="0" borderId="67" xfId="0" applyNumberFormat="1" applyFont="1" applyBorder="1" applyAlignment="1">
      <alignment horizontal="left" vertical="center"/>
    </xf>
    <xf numFmtId="3" fontId="13" fillId="0" borderId="10" xfId="0" applyNumberFormat="1" applyFont="1" applyBorder="1"/>
    <xf numFmtId="0" fontId="11" fillId="0" borderId="10" xfId="22" applyFont="1" applyBorder="1"/>
    <xf numFmtId="3" fontId="14" fillId="0" borderId="12" xfId="0" applyNumberFormat="1" applyFont="1" applyBorder="1" applyAlignment="1">
      <alignment horizontal="left" vertical="center"/>
    </xf>
    <xf numFmtId="49" fontId="14" fillId="0" borderId="67" xfId="0" applyNumberFormat="1" applyFont="1" applyBorder="1" applyAlignment="1">
      <alignment horizontal="left" vertical="center"/>
    </xf>
    <xf numFmtId="49" fontId="13" fillId="0" borderId="68" xfId="0" applyNumberFormat="1" applyFont="1" applyBorder="1" applyAlignment="1">
      <alignment horizontal="left" vertical="center" indent="1"/>
    </xf>
    <xf numFmtId="3" fontId="13" fillId="0" borderId="69" xfId="0" applyNumberFormat="1" applyFont="1" applyBorder="1" applyAlignment="1">
      <alignment horizontal="right" vertical="center"/>
    </xf>
    <xf numFmtId="0" fontId="11" fillId="0" borderId="69" xfId="22" applyFont="1" applyBorder="1"/>
    <xf numFmtId="3" fontId="13" fillId="0" borderId="69" xfId="0" applyNumberFormat="1" applyFont="1" applyBorder="1"/>
    <xf numFmtId="49" fontId="14" fillId="0" borderId="69" xfId="0" applyNumberFormat="1" applyFont="1" applyBorder="1" applyAlignment="1">
      <alignment horizontal="left" vertical="center"/>
    </xf>
    <xf numFmtId="0" fontId="12" fillId="0" borderId="69" xfId="22" applyFont="1" applyBorder="1" applyAlignment="1">
      <alignment horizontal="left"/>
    </xf>
    <xf numFmtId="3" fontId="12" fillId="0" borderId="69" xfId="22" applyNumberFormat="1" applyFont="1" applyBorder="1" applyAlignment="1">
      <alignment horizontal="left"/>
    </xf>
    <xf numFmtId="3" fontId="11" fillId="0" borderId="56" xfId="0" applyNumberFormat="1" applyFont="1" applyBorder="1" applyAlignment="1">
      <alignment horizontal="right" vertical="center"/>
    </xf>
    <xf numFmtId="3" fontId="11" fillId="0" borderId="69" xfId="0" applyNumberFormat="1" applyFont="1" applyBorder="1"/>
    <xf numFmtId="3" fontId="11" fillId="0" borderId="67" xfId="0" applyNumberFormat="1" applyFont="1" applyBorder="1"/>
    <xf numFmtId="3" fontId="11" fillId="0" borderId="55" xfId="0" applyNumberFormat="1" applyFont="1" applyBorder="1" applyAlignment="1">
      <alignment horizontal="right" vertical="center"/>
    </xf>
    <xf numFmtId="3" fontId="11" fillId="0" borderId="43" xfId="0" applyNumberFormat="1" applyFont="1" applyBorder="1"/>
    <xf numFmtId="3" fontId="11" fillId="0" borderId="55" xfId="0" applyNumberFormat="1" applyFont="1" applyBorder="1"/>
    <xf numFmtId="3" fontId="11" fillId="0" borderId="67" xfId="0" applyNumberFormat="1" applyFont="1" applyBorder="1" applyAlignment="1">
      <alignment horizontal="right" vertical="center"/>
    </xf>
    <xf numFmtId="3" fontId="11" fillId="0" borderId="21" xfId="0" applyNumberFormat="1" applyFont="1" applyBorder="1" applyAlignment="1">
      <alignment horizontal="right" vertical="center"/>
    </xf>
    <xf numFmtId="3" fontId="11" fillId="0" borderId="55" xfId="0" applyNumberFormat="1" applyFont="1" applyBorder="1" applyAlignment="1">
      <alignment vertical="center"/>
    </xf>
    <xf numFmtId="3" fontId="11" fillId="0" borderId="56" xfId="0" applyNumberFormat="1" applyFont="1" applyBorder="1"/>
    <xf numFmtId="49" fontId="11" fillId="0" borderId="55" xfId="0" applyNumberFormat="1" applyFont="1" applyBorder="1" applyAlignment="1">
      <alignment horizontal="right" vertical="center"/>
    </xf>
    <xf numFmtId="49" fontId="21" fillId="0" borderId="55" xfId="0" applyNumberFormat="1" applyFont="1" applyBorder="1" applyAlignment="1">
      <alignment horizontal="right" vertical="center"/>
    </xf>
    <xf numFmtId="49" fontId="21" fillId="0" borderId="43" xfId="0" quotePrefix="1" applyNumberFormat="1" applyFont="1" applyBorder="1" applyAlignment="1">
      <alignment horizontal="right" vertical="center"/>
    </xf>
    <xf numFmtId="0" fontId="11" fillId="0" borderId="70" xfId="22" applyFont="1" applyBorder="1"/>
    <xf numFmtId="3" fontId="13" fillId="0" borderId="70" xfId="0" applyNumberFormat="1" applyFont="1" applyBorder="1" applyAlignment="1">
      <alignment horizontal="right" vertical="center"/>
    </xf>
    <xf numFmtId="3" fontId="13" fillId="0" borderId="70" xfId="0" applyNumberFormat="1" applyFont="1" applyBorder="1"/>
    <xf numFmtId="49" fontId="13" fillId="0" borderId="68" xfId="0" applyNumberFormat="1" applyFont="1" applyBorder="1" applyAlignment="1">
      <alignment horizontal="left" vertical="center"/>
    </xf>
    <xf numFmtId="3" fontId="11" fillId="0" borderId="65" xfId="0" applyNumberFormat="1" applyFont="1" applyBorder="1" applyAlignment="1">
      <alignment horizontal="right" vertical="center"/>
    </xf>
    <xf numFmtId="3" fontId="11" fillId="0" borderId="59" xfId="0" applyNumberFormat="1" applyFont="1" applyBorder="1" applyAlignment="1">
      <alignment horizontal="right" vertical="center"/>
    </xf>
    <xf numFmtId="0" fontId="43" fillId="0" borderId="59" xfId="0" applyFont="1" applyBorder="1"/>
    <xf numFmtId="0" fontId="43" fillId="0" borderId="6" xfId="0" applyFont="1" applyBorder="1"/>
    <xf numFmtId="49" fontId="12" fillId="0" borderId="65" xfId="0" applyNumberFormat="1" applyFont="1" applyBorder="1" applyAlignment="1">
      <alignment horizontal="left" vertical="center"/>
    </xf>
    <xf numFmtId="49" fontId="4" fillId="0" borderId="0" xfId="0" applyNumberFormat="1" applyFont="1" applyAlignment="1">
      <alignment horizontal="right" vertical="center"/>
    </xf>
    <xf numFmtId="0" fontId="4" fillId="0" borderId="0" xfId="0" applyFont="1"/>
    <xf numFmtId="1" fontId="4" fillId="0" borderId="0" xfId="0" applyNumberFormat="1" applyFont="1" applyAlignment="1">
      <alignment horizontal="right" vertical="center"/>
    </xf>
    <xf numFmtId="1" fontId="4" fillId="0" borderId="71" xfId="0" applyNumberFormat="1" applyFont="1" applyBorder="1" applyAlignment="1">
      <alignment horizontal="right" vertical="center"/>
    </xf>
    <xf numFmtId="0" fontId="4" fillId="0" borderId="71" xfId="0" applyFont="1" applyBorder="1"/>
    <xf numFmtId="49" fontId="4" fillId="0" borderId="71" xfId="0" applyNumberFormat="1" applyFont="1" applyBorder="1" applyAlignment="1">
      <alignment horizontal="right" vertical="center"/>
    </xf>
    <xf numFmtId="49" fontId="4" fillId="0" borderId="43" xfId="0" quotePrefix="1" applyNumberFormat="1" applyFont="1" applyBorder="1" applyAlignment="1">
      <alignment horizontal="right" vertical="center"/>
    </xf>
    <xf numFmtId="0" fontId="4" fillId="0" borderId="43" xfId="0" applyFont="1" applyBorder="1"/>
    <xf numFmtId="1" fontId="4" fillId="0" borderId="15" xfId="0" applyNumberFormat="1" applyFont="1" applyBorder="1" applyAlignment="1">
      <alignment horizontal="right" vertical="center"/>
    </xf>
    <xf numFmtId="0" fontId="4" fillId="0" borderId="15" xfId="0" applyFont="1" applyBorder="1"/>
    <xf numFmtId="0" fontId="4" fillId="0" borderId="0" xfId="0" applyFont="1" applyAlignment="1">
      <alignment horizontal="right" vertical="center"/>
    </xf>
    <xf numFmtId="0" fontId="4" fillId="0" borderId="71" xfId="0" applyFont="1" applyBorder="1" applyAlignment="1">
      <alignment horizontal="right" vertical="center"/>
    </xf>
    <xf numFmtId="1" fontId="4" fillId="0" borderId="43" xfId="0" applyNumberFormat="1" applyFont="1" applyBorder="1" applyAlignment="1">
      <alignment horizontal="right" vertical="center"/>
    </xf>
    <xf numFmtId="0" fontId="4" fillId="0" borderId="43" xfId="0" applyFont="1" applyBorder="1" applyAlignment="1">
      <alignment horizontal="right" vertical="center"/>
    </xf>
    <xf numFmtId="0" fontId="4" fillId="0" borderId="15" xfId="0" applyFont="1" applyBorder="1" applyAlignment="1">
      <alignment horizontal="right" vertical="center"/>
    </xf>
    <xf numFmtId="171" fontId="4" fillId="0" borderId="0" xfId="0" applyNumberFormat="1" applyFont="1" applyAlignment="1">
      <alignment horizontal="right" vertical="center"/>
    </xf>
    <xf numFmtId="171" fontId="4" fillId="0" borderId="71" xfId="0" applyNumberFormat="1" applyFont="1" applyBorder="1" applyAlignment="1">
      <alignment horizontal="right" vertical="center"/>
    </xf>
    <xf numFmtId="49" fontId="4" fillId="0" borderId="43" xfId="0" applyNumberFormat="1" applyFont="1" applyBorder="1" applyAlignment="1">
      <alignment horizontal="right" vertical="center"/>
    </xf>
    <xf numFmtId="49" fontId="4" fillId="0" borderId="15" xfId="0" applyNumberFormat="1" applyFont="1" applyBorder="1" applyAlignment="1">
      <alignment horizontal="right" vertical="center"/>
    </xf>
    <xf numFmtId="3" fontId="4" fillId="0" borderId="0" xfId="0" applyNumberFormat="1" applyFont="1" applyAlignment="1">
      <alignment horizontal="right" vertical="center"/>
    </xf>
    <xf numFmtId="3" fontId="4" fillId="0" borderId="71" xfId="0" applyNumberFormat="1" applyFont="1" applyBorder="1" applyAlignment="1">
      <alignment horizontal="right" vertical="center"/>
    </xf>
    <xf numFmtId="49" fontId="4" fillId="0" borderId="39" xfId="0" applyNumberFormat="1" applyFont="1" applyBorder="1" applyAlignment="1">
      <alignment horizontal="left" vertical="center"/>
    </xf>
    <xf numFmtId="49" fontId="10" fillId="0" borderId="71" xfId="0" applyNumberFormat="1" applyFont="1" applyBorder="1" applyAlignment="1">
      <alignment horizontal="left" vertical="center"/>
    </xf>
    <xf numFmtId="49" fontId="12" fillId="0" borderId="72" xfId="0" applyNumberFormat="1" applyFont="1" applyBorder="1" applyAlignment="1">
      <alignment horizontal="left" vertical="center"/>
    </xf>
    <xf numFmtId="49" fontId="12" fillId="0" borderId="5" xfId="18" applyNumberFormat="1" applyFont="1" applyBorder="1" applyAlignment="1" applyProtection="1">
      <alignment horizontal="left" vertical="center" indent="1"/>
      <protection locked="0"/>
    </xf>
    <xf numFmtId="170" fontId="0" fillId="0" borderId="0" xfId="3" applyNumberFormat="1" applyFont="1"/>
    <xf numFmtId="49" fontId="12" fillId="0" borderId="15" xfId="16" applyNumberFormat="1" applyFont="1" applyBorder="1" applyAlignment="1" applyProtection="1">
      <alignment horizontal="left" vertical="center"/>
      <protection locked="0"/>
    </xf>
    <xf numFmtId="49" fontId="13" fillId="0" borderId="68" xfId="56" applyNumberFormat="1" applyFont="1" applyBorder="1" applyAlignment="1">
      <alignment horizontal="center" vertical="center"/>
    </xf>
    <xf numFmtId="49" fontId="13" fillId="0" borderId="68" xfId="56" applyNumberFormat="1" applyFont="1" applyBorder="1" applyAlignment="1">
      <alignment vertical="center"/>
    </xf>
    <xf numFmtId="49" fontId="13" fillId="0" borderId="68" xfId="56" applyNumberFormat="1" applyFont="1" applyBorder="1" applyAlignment="1">
      <alignment horizontal="right" vertical="center"/>
    </xf>
    <xf numFmtId="49" fontId="13" fillId="0" borderId="68" xfId="56" applyNumberFormat="1" applyFont="1" applyBorder="1" applyAlignment="1">
      <alignment horizontal="left" vertical="center"/>
    </xf>
    <xf numFmtId="49" fontId="13" fillId="0" borderId="15" xfId="56" applyNumberFormat="1" applyFont="1" applyBorder="1" applyAlignment="1">
      <alignment horizontal="left" vertical="center" indent="1"/>
    </xf>
    <xf numFmtId="0" fontId="13" fillId="0" borderId="15" xfId="56" applyFont="1" applyBorder="1" applyAlignment="1">
      <alignment vertical="center"/>
    </xf>
    <xf numFmtId="49" fontId="12" fillId="0" borderId="22" xfId="16" applyNumberFormat="1" applyFont="1" applyBorder="1" applyAlignment="1" applyProtection="1">
      <alignment horizontal="left" vertical="center"/>
      <protection locked="0"/>
    </xf>
    <xf numFmtId="49" fontId="4" fillId="0" borderId="23" xfId="0" applyNumberFormat="1" applyFont="1" applyBorder="1" applyAlignment="1">
      <alignment horizontal="left" vertical="center"/>
    </xf>
    <xf numFmtId="49" fontId="5" fillId="0" borderId="15" xfId="0" applyNumberFormat="1" applyFont="1" applyBorder="1" applyAlignment="1">
      <alignment horizontal="left" vertical="center"/>
    </xf>
    <xf numFmtId="49" fontId="5" fillId="0" borderId="19" xfId="0" applyNumberFormat="1" applyFont="1" applyBorder="1" applyAlignment="1">
      <alignment horizontal="left" vertical="center" indent="1"/>
    </xf>
    <xf numFmtId="49" fontId="4" fillId="0" borderId="0" xfId="0" quotePrefix="1" applyNumberFormat="1" applyFont="1" applyAlignment="1">
      <alignment horizontal="right" vertical="center"/>
    </xf>
    <xf numFmtId="3" fontId="15" fillId="0" borderId="0" xfId="0" applyNumberFormat="1" applyFont="1" applyAlignment="1">
      <alignment wrapText="1"/>
    </xf>
    <xf numFmtId="49" fontId="12" fillId="0" borderId="12" xfId="18" applyNumberFormat="1" applyFont="1" applyBorder="1" applyAlignment="1" applyProtection="1">
      <alignment horizontal="left" vertical="center"/>
      <protection locked="0"/>
    </xf>
    <xf numFmtId="49" fontId="12" fillId="0" borderId="52" xfId="18" applyNumberFormat="1" applyFont="1" applyBorder="1" applyAlignment="1" applyProtection="1">
      <alignment horizontal="left" vertical="center"/>
      <protection locked="0"/>
    </xf>
    <xf numFmtId="49" fontId="11" fillId="0" borderId="25" xfId="8" applyNumberFormat="1" applyBorder="1" applyAlignment="1" applyProtection="1">
      <alignment horizontal="center" vertical="center"/>
      <protection locked="0"/>
    </xf>
    <xf numFmtId="0" fontId="44" fillId="0" borderId="0" xfId="0" applyFont="1"/>
    <xf numFmtId="0" fontId="11" fillId="0" borderId="0" xfId="0" applyFont="1" applyAlignment="1">
      <alignment wrapText="1"/>
    </xf>
    <xf numFmtId="49" fontId="45" fillId="0" borderId="0" xfId="2" quotePrefix="1" applyNumberFormat="1" applyFont="1" applyFill="1" applyBorder="1" applyAlignment="1">
      <alignment horizontal="right" vertical="center"/>
    </xf>
    <xf numFmtId="49" fontId="11" fillId="0" borderId="0" xfId="19" applyNumberFormat="1" applyAlignment="1" applyProtection="1">
      <alignment horizontal="left" vertical="center" indent="1"/>
      <protection locked="0"/>
    </xf>
    <xf numFmtId="49" fontId="11" fillId="0" borderId="0" xfId="13" applyNumberFormat="1" applyAlignment="1" applyProtection="1">
      <alignment horizontal="left" vertical="center"/>
      <protection locked="0"/>
    </xf>
    <xf numFmtId="49" fontId="11" fillId="0" borderId="0" xfId="19" applyNumberFormat="1" applyAlignment="1" applyProtection="1">
      <alignment horizontal="left" vertical="center" indent="2"/>
      <protection locked="0"/>
    </xf>
    <xf numFmtId="49" fontId="11" fillId="0" borderId="15" xfId="19" applyNumberFormat="1" applyBorder="1" applyAlignment="1" applyProtection="1">
      <alignment horizontal="left" vertical="center" indent="1"/>
      <protection locked="0"/>
    </xf>
    <xf numFmtId="4" fontId="13" fillId="0" borderId="0" xfId="0" applyNumberFormat="1" applyFont="1" applyAlignment="1">
      <alignment horizontal="left" vertical="center"/>
    </xf>
    <xf numFmtId="4" fontId="23" fillId="0" borderId="0" xfId="0" applyNumberFormat="1" applyFont="1" applyAlignment="1">
      <alignment horizontal="left" vertical="center"/>
    </xf>
    <xf numFmtId="0" fontId="13" fillId="0" borderId="15" xfId="0" applyFont="1" applyBorder="1"/>
    <xf numFmtId="49" fontId="11" fillId="0" borderId="15" xfId="24" quotePrefix="1" applyNumberFormat="1" applyBorder="1" applyAlignment="1" applyProtection="1">
      <alignment horizontal="left" vertical="center" indent="1"/>
      <protection locked="0"/>
    </xf>
    <xf numFmtId="49" fontId="12" fillId="0" borderId="51" xfId="18" applyNumberFormat="1" applyFont="1" applyBorder="1" applyAlignment="1" applyProtection="1">
      <alignment horizontal="left" vertical="center"/>
      <protection locked="0"/>
    </xf>
    <xf numFmtId="49" fontId="11" fillId="0" borderId="7" xfId="24" applyNumberFormat="1" applyBorder="1" applyAlignment="1" applyProtection="1">
      <alignment horizontal="left" vertical="center" indent="2"/>
      <protection locked="0"/>
    </xf>
    <xf numFmtId="49" fontId="3" fillId="0" borderId="39" xfId="0" applyNumberFormat="1" applyFont="1" applyBorder="1" applyAlignment="1">
      <alignment horizontal="left" vertical="center"/>
    </xf>
    <xf numFmtId="49" fontId="13" fillId="0" borderId="0" xfId="56" applyNumberFormat="1" applyFont="1" applyAlignment="1">
      <alignment horizontal="right" vertical="center"/>
    </xf>
    <xf numFmtId="49" fontId="13" fillId="0" borderId="0" xfId="56" applyNumberFormat="1" applyFont="1" applyAlignment="1">
      <alignment horizontal="left" vertical="center"/>
    </xf>
    <xf numFmtId="3" fontId="14" fillId="0" borderId="67" xfId="0" applyNumberFormat="1" applyFont="1" applyBorder="1"/>
    <xf numFmtId="0" fontId="1" fillId="0" borderId="0" xfId="64"/>
    <xf numFmtId="0" fontId="48" fillId="2" borderId="76" xfId="64" applyFont="1" applyFill="1" applyBorder="1" applyAlignment="1">
      <alignment horizontal="center"/>
    </xf>
    <xf numFmtId="0" fontId="48" fillId="2" borderId="0" xfId="64" applyFont="1" applyFill="1" applyAlignment="1">
      <alignment horizontal="center"/>
    </xf>
    <xf numFmtId="0" fontId="48" fillId="2" borderId="77" xfId="64" applyFont="1" applyFill="1" applyBorder="1" applyAlignment="1">
      <alignment horizontal="center"/>
    </xf>
    <xf numFmtId="0" fontId="48" fillId="0" borderId="0" xfId="64" applyFont="1"/>
    <xf numFmtId="0" fontId="50" fillId="2" borderId="78" xfId="64" applyFont="1" applyFill="1" applyBorder="1" applyAlignment="1">
      <alignment horizontal="centerContinuous" vertical="center" readingOrder="1"/>
    </xf>
    <xf numFmtId="0" fontId="1" fillId="2" borderId="79" xfId="64" applyFill="1" applyBorder="1" applyAlignment="1">
      <alignment horizontal="centerContinuous"/>
    </xf>
    <xf numFmtId="0" fontId="1" fillId="2" borderId="80" xfId="64" applyFill="1" applyBorder="1" applyAlignment="1">
      <alignment horizontal="centerContinuous"/>
    </xf>
    <xf numFmtId="49" fontId="11" fillId="0" borderId="20" xfId="16" applyNumberFormat="1" applyBorder="1" applyAlignment="1" applyProtection="1">
      <alignment horizontal="center" vertical="center"/>
      <protection locked="0"/>
    </xf>
    <xf numFmtId="0" fontId="48" fillId="2" borderId="76" xfId="64" applyFont="1" applyFill="1" applyBorder="1" applyAlignment="1">
      <alignment horizontal="center"/>
    </xf>
    <xf numFmtId="0" fontId="48" fillId="2" borderId="0" xfId="64" applyFont="1" applyFill="1" applyAlignment="1">
      <alignment horizontal="center"/>
    </xf>
    <xf numFmtId="0" fontId="48" fillId="2" borderId="77" xfId="64" applyFont="1" applyFill="1" applyBorder="1" applyAlignment="1">
      <alignment horizontal="center"/>
    </xf>
    <xf numFmtId="0" fontId="49" fillId="2" borderId="76" xfId="64" applyFont="1" applyFill="1" applyBorder="1" applyAlignment="1">
      <alignment horizontal="center" vertical="center" readingOrder="1"/>
    </xf>
    <xf numFmtId="0" fontId="49" fillId="2" borderId="0" xfId="64" applyFont="1" applyFill="1" applyAlignment="1">
      <alignment horizontal="center" vertical="center" readingOrder="1"/>
    </xf>
    <xf numFmtId="0" fontId="49" fillId="2" borderId="77" xfId="64" applyFont="1" applyFill="1" applyBorder="1" applyAlignment="1">
      <alignment horizontal="center" vertical="center" readingOrder="1"/>
    </xf>
    <xf numFmtId="0" fontId="46" fillId="2" borderId="73" xfId="65" applyFont="1" applyFill="1" applyBorder="1" applyAlignment="1">
      <alignment horizontal="center"/>
    </xf>
    <xf numFmtId="0" fontId="46" fillId="2" borderId="74" xfId="65" applyFont="1" applyFill="1" applyBorder="1" applyAlignment="1">
      <alignment horizontal="center"/>
    </xf>
    <xf numFmtId="0" fontId="46" fillId="2" borderId="75" xfId="65" applyFont="1" applyFill="1" applyBorder="1" applyAlignment="1">
      <alignment horizontal="center"/>
    </xf>
    <xf numFmtId="0" fontId="47" fillId="2" borderId="76" xfId="65" applyFont="1" applyFill="1" applyBorder="1" applyAlignment="1">
      <alignment horizontal="center"/>
    </xf>
    <xf numFmtId="0" fontId="47" fillId="2" borderId="0" xfId="65" applyFont="1" applyFill="1" applyAlignment="1">
      <alignment horizontal="center"/>
    </xf>
    <xf numFmtId="0" fontId="47" fillId="2" borderId="77" xfId="65" applyFont="1" applyFill="1" applyBorder="1" applyAlignment="1">
      <alignment horizontal="center"/>
    </xf>
    <xf numFmtId="49" fontId="11" fillId="0" borderId="0" xfId="16" applyNumberFormat="1" applyAlignment="1" applyProtection="1">
      <alignment horizontal="center" vertical="center"/>
      <protection locked="0"/>
    </xf>
    <xf numFmtId="49" fontId="0" fillId="0" borderId="0" xfId="0" applyNumberFormat="1" applyAlignment="1">
      <alignment horizontal="center" vertical="center"/>
    </xf>
    <xf numFmtId="49" fontId="12" fillId="0" borderId="0" xfId="0" applyNumberFormat="1" applyFont="1" applyAlignment="1">
      <alignment horizontal="left" vertical="center"/>
    </xf>
    <xf numFmtId="49" fontId="11" fillId="0" borderId="0" xfId="0" applyNumberFormat="1" applyFont="1" applyAlignment="1">
      <alignment horizontal="left" vertical="center"/>
    </xf>
    <xf numFmtId="49" fontId="13" fillId="0" borderId="0" xfId="0" applyNumberFormat="1" applyFont="1" applyAlignment="1">
      <alignment horizontal="left" vertical="center"/>
    </xf>
    <xf numFmtId="49" fontId="12" fillId="0" borderId="0" xfId="0" applyNumberFormat="1" applyFont="1" applyAlignment="1">
      <alignment horizontal="left" vertical="center" wrapText="1"/>
    </xf>
    <xf numFmtId="49" fontId="13" fillId="0" borderId="0" xfId="0" applyNumberFormat="1" applyFont="1" applyAlignment="1">
      <alignment horizontal="left" vertical="center" wrapText="1"/>
    </xf>
    <xf numFmtId="49" fontId="11" fillId="0" borderId="0" xfId="15" applyNumberFormat="1" applyAlignment="1" applyProtection="1">
      <alignment horizontal="center" vertical="center"/>
      <protection locked="0"/>
    </xf>
    <xf numFmtId="49" fontId="11" fillId="0" borderId="0" xfId="0" applyNumberFormat="1" applyFont="1" applyAlignment="1">
      <alignment horizontal="center" vertical="center"/>
    </xf>
    <xf numFmtId="49" fontId="0" fillId="0" borderId="0" xfId="0" applyNumberFormat="1" applyAlignment="1">
      <alignment horizontal="left" vertical="center"/>
    </xf>
    <xf numFmtId="49" fontId="0" fillId="0" borderId="0" xfId="0" applyNumberFormat="1" applyAlignment="1">
      <alignment horizontal="left" vertical="center" wrapText="1"/>
    </xf>
    <xf numFmtId="49" fontId="4" fillId="0" borderId="26" xfId="0" quotePrefix="1" applyNumberFormat="1" applyFont="1" applyBorder="1" applyAlignment="1">
      <alignment horizontal="left" vertical="center"/>
    </xf>
    <xf numFmtId="49" fontId="0" fillId="0" borderId="26" xfId="0" applyNumberFormat="1" applyBorder="1" applyAlignment="1">
      <alignment horizontal="left" vertical="center"/>
    </xf>
    <xf numFmtId="49" fontId="9" fillId="0" borderId="0" xfId="0" applyNumberFormat="1" applyFont="1" applyAlignment="1">
      <alignment horizontal="center" vertical="center"/>
    </xf>
    <xf numFmtId="49" fontId="4" fillId="0" borderId="26" xfId="0" applyNumberFormat="1" applyFont="1" applyBorder="1" applyAlignment="1">
      <alignment horizontal="center" vertical="center"/>
    </xf>
    <xf numFmtId="49" fontId="9" fillId="0" borderId="26" xfId="0" applyNumberFormat="1" applyFont="1" applyBorder="1" applyAlignment="1">
      <alignment horizontal="center" vertical="center"/>
    </xf>
    <xf numFmtId="0" fontId="9" fillId="0" borderId="0" xfId="0" applyFont="1"/>
    <xf numFmtId="0" fontId="0" fillId="0" borderId="0" xfId="0"/>
    <xf numFmtId="49" fontId="5" fillId="0" borderId="26" xfId="0" applyNumberFormat="1" applyFont="1" applyBorder="1" applyAlignment="1">
      <alignment horizontal="center" vertical="center"/>
    </xf>
    <xf numFmtId="49" fontId="7" fillId="0" borderId="26" xfId="0" applyNumberFormat="1" applyFont="1" applyBorder="1" applyAlignment="1">
      <alignment horizontal="left" vertical="center"/>
    </xf>
    <xf numFmtId="49" fontId="5" fillId="0" borderId="39"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4" fillId="0" borderId="39" xfId="0" applyNumberFormat="1" applyFont="1" applyBorder="1" applyAlignment="1">
      <alignment horizontal="center" vertical="center"/>
    </xf>
    <xf numFmtId="49" fontId="3" fillId="0" borderId="0" xfId="0" applyNumberFormat="1" applyFont="1" applyAlignment="1">
      <alignment horizontal="center" vertical="center"/>
    </xf>
    <xf numFmtId="49" fontId="4" fillId="0" borderId="0" xfId="0" applyNumberFormat="1" applyFont="1" applyAlignment="1">
      <alignment horizontal="center" vertical="center"/>
    </xf>
    <xf numFmtId="49" fontId="9" fillId="0" borderId="42" xfId="0" applyNumberFormat="1" applyFont="1" applyBorder="1" applyAlignment="1">
      <alignment horizontal="center" vertical="center"/>
    </xf>
    <xf numFmtId="49" fontId="0" fillId="0" borderId="42" xfId="0" applyNumberFormat="1" applyBorder="1" applyAlignment="1">
      <alignment horizontal="center" vertical="center"/>
    </xf>
    <xf numFmtId="49" fontId="7" fillId="0" borderId="42" xfId="0" applyNumberFormat="1" applyFont="1" applyBorder="1" applyAlignment="1">
      <alignment horizontal="center" vertical="center"/>
    </xf>
    <xf numFmtId="49" fontId="0" fillId="0" borderId="39" xfId="0" applyNumberFormat="1" applyBorder="1" applyAlignment="1">
      <alignment horizontal="center" vertical="center"/>
    </xf>
    <xf numFmtId="49" fontId="9" fillId="0" borderId="26" xfId="0" applyNumberFormat="1" applyFont="1" applyBorder="1" applyAlignment="1">
      <alignment horizontal="left" vertical="center"/>
    </xf>
    <xf numFmtId="49" fontId="12" fillId="0" borderId="0" xfId="4" applyNumberFormat="1" applyFont="1" applyAlignment="1" applyProtection="1">
      <alignment horizontal="left" vertical="center"/>
      <protection locked="0"/>
    </xf>
    <xf numFmtId="49" fontId="11" fillId="0" borderId="38" xfId="4" applyNumberFormat="1" applyBorder="1" applyAlignment="1" applyProtection="1">
      <alignment horizontal="center" vertical="center"/>
      <protection locked="0"/>
    </xf>
    <xf numFmtId="49" fontId="12" fillId="0" borderId="0" xfId="0" quotePrefix="1" applyNumberFormat="1" applyFont="1" applyAlignment="1">
      <alignment horizontal="left" vertical="center"/>
    </xf>
    <xf numFmtId="49" fontId="11" fillId="0" borderId="0" xfId="0" quotePrefix="1" applyNumberFormat="1" applyFont="1" applyAlignment="1">
      <alignment horizontal="left" vertical="center"/>
    </xf>
    <xf numFmtId="49" fontId="11" fillId="0" borderId="0" xfId="4" applyNumberFormat="1" applyAlignment="1" applyProtection="1">
      <alignment horizontal="center" vertical="center"/>
      <protection locked="0"/>
    </xf>
    <xf numFmtId="49" fontId="11" fillId="0" borderId="16" xfId="4" applyNumberFormat="1" applyBorder="1" applyAlignment="1" applyProtection="1">
      <alignment horizontal="center" vertical="center"/>
      <protection locked="0"/>
    </xf>
    <xf numFmtId="49" fontId="11" fillId="0" borderId="32" xfId="1" applyNumberFormat="1" applyBorder="1" applyAlignment="1" applyProtection="1">
      <alignment horizontal="center" vertical="center"/>
      <protection locked="0"/>
    </xf>
    <xf numFmtId="49" fontId="11" fillId="0" borderId="47" xfId="1" applyNumberFormat="1" applyBorder="1" applyAlignment="1" applyProtection="1">
      <alignment horizontal="center" vertical="center"/>
      <protection locked="0"/>
    </xf>
    <xf numFmtId="49" fontId="11" fillId="0" borderId="45" xfId="1" applyNumberFormat="1" applyBorder="1" applyAlignment="1" applyProtection="1">
      <alignment horizontal="center" vertical="center"/>
      <protection locked="0"/>
    </xf>
    <xf numFmtId="49" fontId="11" fillId="0" borderId="0" xfId="1" applyNumberFormat="1" applyAlignment="1" applyProtection="1">
      <alignment horizontal="center" vertical="center"/>
      <protection locked="0"/>
    </xf>
    <xf numFmtId="49" fontId="11" fillId="0" borderId="15" xfId="1" applyNumberFormat="1" applyBorder="1" applyAlignment="1" applyProtection="1">
      <alignment horizontal="center" vertical="center"/>
      <protection locked="0"/>
    </xf>
    <xf numFmtId="49" fontId="0" fillId="0" borderId="15" xfId="0" applyNumberFormat="1" applyBorder="1" applyAlignment="1">
      <alignment horizontal="center" vertical="center"/>
    </xf>
    <xf numFmtId="49" fontId="12" fillId="0" borderId="0" xfId="0" applyNumberFormat="1" applyFont="1" applyAlignment="1" applyProtection="1">
      <alignment horizontal="left" vertical="center" wrapText="1"/>
      <protection locked="0"/>
    </xf>
    <xf numFmtId="49" fontId="11" fillId="0" borderId="0" xfId="0" applyNumberFormat="1" applyFont="1" applyAlignment="1" applyProtection="1">
      <alignment horizontal="left" vertical="center"/>
      <protection locked="0"/>
    </xf>
    <xf numFmtId="49" fontId="12" fillId="0" borderId="0" xfId="0" applyNumberFormat="1" applyFont="1" applyAlignment="1" applyProtection="1">
      <alignment horizontal="left" vertical="center"/>
      <protection locked="0"/>
    </xf>
    <xf numFmtId="0" fontId="0" fillId="0" borderId="0" xfId="0" applyAlignment="1">
      <alignment horizontal="left" vertical="center"/>
    </xf>
    <xf numFmtId="49" fontId="11" fillId="0" borderId="0" xfId="5" applyNumberFormat="1" applyAlignment="1" applyProtection="1">
      <alignment horizontal="center" vertical="center"/>
      <protection locked="0"/>
    </xf>
    <xf numFmtId="49" fontId="11" fillId="0" borderId="0" xfId="0" quotePrefix="1" applyNumberFormat="1" applyFont="1" applyAlignment="1" applyProtection="1">
      <alignment horizontal="left" vertical="center"/>
      <protection locked="0"/>
    </xf>
    <xf numFmtId="49" fontId="11" fillId="0" borderId="5" xfId="5" applyNumberFormat="1" applyBorder="1" applyAlignment="1" applyProtection="1">
      <alignment horizontal="center" vertical="center"/>
      <protection locked="0"/>
    </xf>
    <xf numFmtId="49" fontId="12" fillId="0" borderId="0" xfId="18" applyNumberFormat="1" applyFont="1" applyAlignment="1" applyProtection="1">
      <alignment horizontal="left" vertical="center" wrapText="1"/>
      <protection locked="0"/>
    </xf>
    <xf numFmtId="49" fontId="11" fillId="0" borderId="5" xfId="18" applyNumberFormat="1" applyBorder="1" applyAlignment="1" applyProtection="1">
      <alignment horizontal="center" vertical="center"/>
      <protection locked="0"/>
    </xf>
    <xf numFmtId="49" fontId="11" fillId="0" borderId="0" xfId="18" quotePrefix="1" applyNumberFormat="1" applyAlignment="1" applyProtection="1">
      <alignment horizontal="left" vertical="center"/>
      <protection locked="0"/>
    </xf>
    <xf numFmtId="49" fontId="12" fillId="0" borderId="0" xfId="18" applyNumberFormat="1" applyFont="1" applyAlignment="1" applyProtection="1">
      <alignment horizontal="left" vertical="center"/>
      <protection locked="0"/>
    </xf>
    <xf numFmtId="49" fontId="11" fillId="0" borderId="0" xfId="17" applyNumberFormat="1" applyAlignment="1">
      <alignment horizontal="center" vertical="center"/>
    </xf>
    <xf numFmtId="49" fontId="11" fillId="0" borderId="0" xfId="18" applyNumberFormat="1" applyAlignment="1" applyProtection="1">
      <alignment horizontal="center" vertical="center"/>
      <protection locked="0"/>
    </xf>
    <xf numFmtId="49" fontId="13" fillId="0" borderId="0" xfId="0" applyNumberFormat="1" applyFont="1" applyAlignment="1">
      <alignment horizontal="center" vertical="center"/>
    </xf>
    <xf numFmtId="49" fontId="11" fillId="0" borderId="3" xfId="18" applyNumberFormat="1" applyBorder="1" applyAlignment="1" applyProtection="1">
      <alignment horizontal="center" vertical="center"/>
      <protection locked="0"/>
    </xf>
    <xf numFmtId="49" fontId="13" fillId="0" borderId="3" xfId="0" applyNumberFormat="1" applyFont="1" applyBorder="1" applyAlignment="1">
      <alignment horizontal="center" vertical="center"/>
    </xf>
    <xf numFmtId="49" fontId="12" fillId="0" borderId="0" xfId="6" applyNumberFormat="1" applyFont="1" applyAlignment="1" applyProtection="1">
      <alignment horizontal="left" vertical="center"/>
      <protection locked="0"/>
    </xf>
    <xf numFmtId="49" fontId="11" fillId="0" borderId="0" xfId="6" applyNumberFormat="1" applyAlignment="1" applyProtection="1">
      <alignment horizontal="center" vertical="center"/>
      <protection locked="0"/>
    </xf>
    <xf numFmtId="49" fontId="11" fillId="0" borderId="3" xfId="6" applyNumberFormat="1" applyBorder="1" applyAlignment="1" applyProtection="1">
      <alignment horizontal="center" vertical="center"/>
      <protection locked="0"/>
    </xf>
    <xf numFmtId="49" fontId="11" fillId="0" borderId="5" xfId="6" applyNumberFormat="1" applyBorder="1" applyAlignment="1" applyProtection="1">
      <alignment horizontal="center" vertical="center"/>
      <protection locked="0"/>
    </xf>
    <xf numFmtId="49" fontId="12" fillId="0" borderId="0" xfId="7" applyNumberFormat="1" applyFont="1" applyAlignment="1">
      <alignment horizontal="left" vertical="center"/>
    </xf>
    <xf numFmtId="49" fontId="12" fillId="0" borderId="0" xfId="8" applyNumberFormat="1" applyFont="1" applyAlignment="1" applyProtection="1">
      <alignment horizontal="left" vertical="center" wrapText="1"/>
      <protection locked="0"/>
    </xf>
    <xf numFmtId="49" fontId="11" fillId="0" borderId="38" xfId="8" applyNumberFormat="1" applyBorder="1" applyAlignment="1" applyProtection="1">
      <alignment horizontal="center" vertical="center"/>
      <protection locked="0"/>
    </xf>
    <xf numFmtId="0" fontId="0" fillId="0" borderId="38" xfId="0" applyBorder="1" applyAlignment="1">
      <alignment horizontal="center" vertical="center"/>
    </xf>
    <xf numFmtId="49" fontId="11" fillId="0" borderId="26" xfId="0" applyNumberFormat="1" applyFont="1" applyBorder="1" applyAlignment="1">
      <alignment horizontal="left" vertical="center"/>
    </xf>
    <xf numFmtId="49" fontId="11" fillId="0" borderId="0" xfId="8" applyNumberFormat="1" applyAlignment="1" applyProtection="1">
      <alignment horizontal="center" vertical="center"/>
      <protection locked="0"/>
    </xf>
    <xf numFmtId="49" fontId="15" fillId="0" borderId="0" xfId="0" applyNumberFormat="1" applyFont="1" applyAlignment="1">
      <alignment horizontal="center" vertical="center"/>
    </xf>
    <xf numFmtId="49" fontId="11" fillId="0" borderId="31" xfId="8" applyNumberFormat="1" applyBorder="1" applyAlignment="1" applyProtection="1">
      <alignment horizontal="center" vertical="center"/>
      <protection locked="0"/>
    </xf>
    <xf numFmtId="49" fontId="0" fillId="0" borderId="31" xfId="0" applyNumberFormat="1" applyBorder="1" applyAlignment="1">
      <alignment horizontal="center" vertical="center"/>
    </xf>
    <xf numFmtId="49" fontId="11" fillId="0" borderId="0" xfId="9" applyNumberFormat="1" applyAlignment="1" applyProtection="1">
      <alignment horizontal="center" vertical="center"/>
      <protection locked="0"/>
    </xf>
    <xf numFmtId="49" fontId="13" fillId="0" borderId="61" xfId="0" applyNumberFormat="1" applyFont="1" applyBorder="1" applyAlignment="1">
      <alignment horizontal="left" vertical="center"/>
    </xf>
    <xf numFmtId="49" fontId="0" fillId="0" borderId="61" xfId="0" applyNumberFormat="1" applyBorder="1" applyAlignment="1">
      <alignment horizontal="left" vertical="center"/>
    </xf>
    <xf numFmtId="49" fontId="11" fillId="0" borderId="38" xfId="9" applyNumberFormat="1" applyBorder="1" applyAlignment="1" applyProtection="1">
      <alignment horizontal="center" vertical="center"/>
      <protection locked="0"/>
    </xf>
    <xf numFmtId="49" fontId="0" fillId="0" borderId="38" xfId="0" applyNumberFormat="1" applyBorder="1" applyAlignment="1">
      <alignment horizontal="center" vertical="center"/>
    </xf>
    <xf numFmtId="49" fontId="12" fillId="0" borderId="0" xfId="11" applyNumberFormat="1" applyFont="1" applyAlignment="1">
      <alignment horizontal="left" vertical="center"/>
    </xf>
    <xf numFmtId="49" fontId="11" fillId="0" borderId="48" xfId="10" applyNumberFormat="1" applyBorder="1" applyAlignment="1" applyProtection="1">
      <alignment horizontal="center" vertical="center"/>
      <protection locked="0"/>
    </xf>
    <xf numFmtId="49" fontId="11" fillId="0" borderId="0" xfId="10" applyNumberFormat="1" applyAlignment="1" applyProtection="1">
      <alignment horizontal="center" vertical="center"/>
      <protection locked="0"/>
    </xf>
    <xf numFmtId="49" fontId="11" fillId="0" borderId="0" xfId="11" applyNumberFormat="1" applyFont="1" applyAlignment="1">
      <alignment horizontal="center" vertical="center"/>
    </xf>
    <xf numFmtId="49" fontId="11" fillId="0" borderId="0" xfId="11" applyNumberFormat="1" applyFont="1" applyAlignment="1">
      <alignment horizontal="left" vertical="center" wrapText="1"/>
    </xf>
    <xf numFmtId="49" fontId="12" fillId="0" borderId="0" xfId="11" applyNumberFormat="1" applyFont="1" applyAlignment="1">
      <alignment horizontal="left" vertical="center" wrapText="1"/>
    </xf>
    <xf numFmtId="49" fontId="11" fillId="0" borderId="0" xfId="0" applyNumberFormat="1" applyFont="1" applyAlignment="1">
      <alignment horizontal="left" vertical="center" wrapText="1"/>
    </xf>
    <xf numFmtId="49" fontId="12" fillId="0" borderId="0" xfId="13" applyNumberFormat="1" applyFont="1" applyAlignment="1" applyProtection="1">
      <alignment horizontal="left" vertical="center"/>
      <protection locked="0"/>
    </xf>
    <xf numFmtId="49" fontId="11" fillId="0" borderId="0" xfId="12" applyNumberFormat="1" applyAlignment="1" applyProtection="1">
      <alignment horizontal="center" vertical="center"/>
      <protection locked="0"/>
    </xf>
    <xf numFmtId="0" fontId="11" fillId="0" borderId="17" xfId="0" applyFont="1" applyBorder="1" applyAlignment="1">
      <alignment horizontal="center" vertical="center"/>
    </xf>
    <xf numFmtId="0" fontId="0" fillId="0" borderId="17" xfId="0" applyBorder="1" applyAlignment="1">
      <alignment horizontal="center" vertical="center"/>
    </xf>
    <xf numFmtId="49" fontId="11" fillId="0" borderId="0" xfId="3" applyNumberFormat="1" applyFont="1" applyFill="1" applyAlignment="1">
      <alignment horizontal="left" vertical="center"/>
    </xf>
    <xf numFmtId="49" fontId="11" fillId="0" borderId="26" xfId="18" quotePrefix="1" applyNumberFormat="1" applyBorder="1" applyAlignment="1" applyProtection="1">
      <alignment horizontal="left" vertical="center"/>
      <protection locked="0"/>
    </xf>
    <xf numFmtId="49" fontId="11" fillId="0" borderId="0" xfId="14" applyNumberFormat="1" applyAlignment="1" applyProtection="1">
      <alignment horizontal="center" vertical="center"/>
      <protection locked="0"/>
    </xf>
    <xf numFmtId="49" fontId="11" fillId="0" borderId="32" xfId="0" applyNumberFormat="1" applyFont="1" applyBorder="1" applyAlignment="1">
      <alignment horizontal="center" vertical="center"/>
    </xf>
    <xf numFmtId="49" fontId="0" fillId="0" borderId="32" xfId="0" applyNumberFormat="1" applyBorder="1" applyAlignment="1">
      <alignment horizontal="center" vertical="center"/>
    </xf>
    <xf numFmtId="49" fontId="11" fillId="0" borderId="26" xfId="21" quotePrefix="1" applyNumberFormat="1" applyBorder="1" applyAlignment="1" applyProtection="1">
      <alignment horizontal="left" vertical="center"/>
      <protection locked="0"/>
    </xf>
    <xf numFmtId="49" fontId="13" fillId="0" borderId="45" xfId="0" applyNumberFormat="1" applyFont="1" applyBorder="1" applyAlignment="1">
      <alignment horizontal="center" vertical="center"/>
    </xf>
    <xf numFmtId="49" fontId="11" fillId="0" borderId="35" xfId="0" applyNumberFormat="1" applyFont="1" applyBorder="1" applyAlignment="1">
      <alignment horizontal="center" vertical="center"/>
    </xf>
    <xf numFmtId="49" fontId="0" fillId="0" borderId="35" xfId="0" applyNumberFormat="1" applyBorder="1" applyAlignment="1">
      <alignment horizontal="center" vertical="center"/>
    </xf>
    <xf numFmtId="49" fontId="0" fillId="0" borderId="36" xfId="0" applyNumberFormat="1" applyBorder="1" applyAlignment="1">
      <alignment horizontal="center" vertical="center"/>
    </xf>
    <xf numFmtId="49" fontId="13" fillId="0" borderId="23" xfId="0" applyNumberFormat="1" applyFont="1" applyBorder="1" applyAlignment="1">
      <alignment horizontal="center" vertical="center"/>
    </xf>
    <xf numFmtId="0" fontId="0" fillId="0" borderId="23" xfId="0" applyBorder="1" applyAlignment="1">
      <alignment horizontal="center" vertical="center"/>
    </xf>
    <xf numFmtId="49" fontId="11" fillId="0" borderId="23" xfId="19" applyNumberFormat="1" applyBorder="1" applyAlignment="1" applyProtection="1">
      <alignment horizontal="center" vertical="center"/>
      <protection locked="0"/>
    </xf>
    <xf numFmtId="49" fontId="11" fillId="0" borderId="0" xfId="19" applyNumberFormat="1" applyAlignment="1" applyProtection="1">
      <alignment horizontal="center" vertical="center"/>
      <protection locked="0"/>
    </xf>
    <xf numFmtId="49" fontId="11" fillId="0" borderId="15" xfId="19" applyNumberFormat="1" applyBorder="1" applyAlignment="1" applyProtection="1">
      <alignment horizontal="center" vertical="center"/>
      <protection locked="0"/>
    </xf>
    <xf numFmtId="49" fontId="11" fillId="0" borderId="60" xfId="19" applyNumberFormat="1" applyBorder="1" applyAlignment="1" applyProtection="1">
      <alignment horizontal="center" vertical="center"/>
      <protection locked="0"/>
    </xf>
    <xf numFmtId="0" fontId="0" fillId="0" borderId="60" xfId="0" applyBorder="1" applyAlignment="1">
      <alignment horizontal="center" vertical="center"/>
    </xf>
    <xf numFmtId="49" fontId="11" fillId="0" borderId="26" xfId="19" quotePrefix="1" applyNumberFormat="1" applyBorder="1" applyAlignment="1" applyProtection="1">
      <alignment horizontal="left" vertical="center"/>
      <protection locked="0"/>
    </xf>
    <xf numFmtId="49" fontId="11" fillId="0" borderId="0" xfId="19" quotePrefix="1" applyNumberFormat="1" applyAlignment="1" applyProtection="1">
      <alignment horizontal="left" vertical="center"/>
      <protection locked="0"/>
    </xf>
    <xf numFmtId="49" fontId="12" fillId="0" borderId="0" xfId="19" quotePrefix="1" applyNumberFormat="1" applyFont="1" applyAlignment="1" applyProtection="1">
      <alignment horizontal="left" vertical="center" wrapText="1"/>
      <protection locked="0"/>
    </xf>
    <xf numFmtId="49" fontId="11" fillId="0" borderId="0" xfId="19" applyNumberFormat="1" applyAlignment="1" applyProtection="1">
      <alignment horizontal="left" vertical="center"/>
      <protection locked="0"/>
    </xf>
    <xf numFmtId="49" fontId="12" fillId="0" borderId="0" xfId="19" quotePrefix="1" applyNumberFormat="1" applyFont="1" applyAlignment="1" applyProtection="1">
      <alignment horizontal="left" vertical="center"/>
      <protection locked="0"/>
    </xf>
    <xf numFmtId="49" fontId="11" fillId="0" borderId="0" xfId="19" quotePrefix="1" applyNumberFormat="1" applyAlignment="1" applyProtection="1">
      <alignment horizontal="left" vertical="center" wrapText="1"/>
      <protection locked="0"/>
    </xf>
    <xf numFmtId="49" fontId="11" fillId="0" borderId="0" xfId="0" applyNumberFormat="1" applyFont="1" applyAlignment="1">
      <alignment horizontal="left" vertical="center" readingOrder="1"/>
    </xf>
    <xf numFmtId="49" fontId="11" fillId="0" borderId="0" xfId="21" applyNumberFormat="1" applyAlignment="1" applyProtection="1">
      <alignment horizontal="center" vertical="center"/>
      <protection locked="0"/>
    </xf>
    <xf numFmtId="49" fontId="11" fillId="0" borderId="0" xfId="21" quotePrefix="1" applyNumberFormat="1" applyAlignment="1" applyProtection="1">
      <alignment horizontal="left" vertical="center"/>
      <protection locked="0"/>
    </xf>
    <xf numFmtId="49" fontId="12" fillId="0" borderId="0" xfId="21" applyNumberFormat="1" applyFont="1" applyAlignment="1" applyProtection="1">
      <alignment horizontal="left" vertical="center" wrapText="1"/>
      <protection locked="0"/>
    </xf>
    <xf numFmtId="49" fontId="11" fillId="0" borderId="46" xfId="21" applyNumberFormat="1" applyBorder="1" applyAlignment="1" applyProtection="1">
      <alignment horizontal="center" vertical="center"/>
      <protection locked="0"/>
    </xf>
    <xf numFmtId="49" fontId="12" fillId="0" borderId="0" xfId="21" applyNumberFormat="1" applyFont="1" applyAlignment="1" applyProtection="1">
      <alignment horizontal="center" vertical="center"/>
      <protection locked="0"/>
    </xf>
    <xf numFmtId="49" fontId="11" fillId="0" borderId="20" xfId="10" applyNumberFormat="1" applyBorder="1" applyAlignment="1" applyProtection="1">
      <alignment horizontal="center" vertical="center"/>
      <protection locked="0"/>
    </xf>
    <xf numFmtId="49" fontId="11" fillId="0" borderId="34" xfId="21" applyNumberFormat="1" applyBorder="1" applyAlignment="1" applyProtection="1">
      <alignment horizontal="center" vertical="center"/>
      <protection locked="0"/>
    </xf>
    <xf numFmtId="49" fontId="11" fillId="0" borderId="46" xfId="10" applyNumberFormat="1" applyBorder="1" applyAlignment="1" applyProtection="1">
      <alignment horizontal="center" vertical="center"/>
      <protection locked="0"/>
    </xf>
    <xf numFmtId="0" fontId="0" fillId="0" borderId="46" xfId="0" applyBorder="1" applyAlignment="1">
      <alignment horizontal="center" vertical="center"/>
    </xf>
    <xf numFmtId="49" fontId="11" fillId="0" borderId="0" xfId="22" applyNumberFormat="1" applyFont="1" applyAlignment="1">
      <alignment horizontal="left" vertical="center"/>
    </xf>
    <xf numFmtId="49" fontId="11" fillId="0" borderId="0" xfId="21" applyNumberFormat="1" applyAlignment="1" applyProtection="1">
      <alignment horizontal="left" vertical="center"/>
      <protection locked="0"/>
    </xf>
    <xf numFmtId="49" fontId="12" fillId="0" borderId="0" xfId="21" applyNumberFormat="1" applyFont="1" applyAlignment="1" applyProtection="1">
      <alignment horizontal="left" vertical="center"/>
      <protection locked="0"/>
    </xf>
    <xf numFmtId="49" fontId="11" fillId="0" borderId="0" xfId="24" applyNumberFormat="1" applyAlignment="1" applyProtection="1">
      <alignment horizontal="left" vertical="center"/>
      <protection locked="0"/>
    </xf>
    <xf numFmtId="11" fontId="11" fillId="0" borderId="0" xfId="24" applyNumberFormat="1" applyAlignment="1" applyProtection="1">
      <alignment horizontal="center" vertical="center"/>
      <protection locked="0"/>
    </xf>
    <xf numFmtId="11" fontId="13" fillId="0" borderId="0" xfId="0" applyNumberFormat="1" applyFont="1" applyAlignment="1">
      <alignment horizontal="center" vertical="center"/>
    </xf>
    <xf numFmtId="49" fontId="0" fillId="0" borderId="34" xfId="0" applyNumberFormat="1" applyBorder="1" applyAlignment="1">
      <alignment horizontal="center" vertical="center"/>
    </xf>
    <xf numFmtId="49" fontId="11" fillId="0" borderId="15" xfId="21" applyNumberFormat="1" applyBorder="1" applyAlignment="1" applyProtection="1">
      <alignment horizontal="center" vertical="center"/>
      <protection locked="0"/>
    </xf>
    <xf numFmtId="49" fontId="11" fillId="0" borderId="57" xfId="10" applyNumberFormat="1" applyBorder="1" applyAlignment="1" applyProtection="1">
      <alignment horizontal="center" vertical="center"/>
      <protection locked="0"/>
    </xf>
    <xf numFmtId="49" fontId="13" fillId="0" borderId="57" xfId="0" applyNumberFormat="1" applyFont="1" applyBorder="1" applyAlignment="1">
      <alignment horizontal="center" vertical="center"/>
    </xf>
    <xf numFmtId="0" fontId="0" fillId="0" borderId="57" xfId="0" applyBorder="1" applyAlignment="1">
      <alignment horizontal="center" vertical="center"/>
    </xf>
    <xf numFmtId="49" fontId="11" fillId="0" borderId="0" xfId="24" applyNumberFormat="1" applyAlignment="1" applyProtection="1">
      <alignment horizontal="center" vertical="center"/>
      <protection locked="0"/>
    </xf>
    <xf numFmtId="49" fontId="11" fillId="0" borderId="0" xfId="24" applyNumberFormat="1" applyAlignment="1" applyProtection="1">
      <alignment horizontal="left" vertical="center" wrapText="1"/>
      <protection locked="0"/>
    </xf>
    <xf numFmtId="49" fontId="11" fillId="0" borderId="60" xfId="21" applyNumberFormat="1" applyBorder="1" applyAlignment="1" applyProtection="1">
      <alignment horizontal="center" vertical="center"/>
      <protection locked="0"/>
    </xf>
    <xf numFmtId="49" fontId="11" fillId="0" borderId="23" xfId="10" applyNumberFormat="1" applyBorder="1" applyAlignment="1" applyProtection="1">
      <alignment horizontal="center" vertical="center"/>
      <protection locked="0"/>
    </xf>
    <xf numFmtId="49" fontId="13" fillId="0" borderId="34" xfId="0" applyNumberFormat="1" applyFont="1" applyBorder="1" applyAlignment="1">
      <alignment horizontal="center" vertical="center"/>
    </xf>
    <xf numFmtId="49" fontId="11" fillId="0" borderId="23" xfId="21" applyNumberFormat="1" applyBorder="1" applyAlignment="1" applyProtection="1">
      <alignment horizontal="center" vertical="center"/>
      <protection locked="0"/>
    </xf>
    <xf numFmtId="49" fontId="0" fillId="0" borderId="23" xfId="0" applyNumberFormat="1" applyBorder="1" applyAlignment="1">
      <alignment horizontal="center" vertical="center"/>
    </xf>
    <xf numFmtId="49" fontId="11" fillId="0" borderId="56" xfId="21" quotePrefix="1" applyNumberFormat="1" applyBorder="1" applyAlignment="1" applyProtection="1">
      <alignment horizontal="left" vertical="center"/>
      <protection locked="0"/>
    </xf>
    <xf numFmtId="49" fontId="12" fillId="0" borderId="0" xfId="24" applyNumberFormat="1" applyFont="1" applyAlignment="1" applyProtection="1">
      <alignment horizontal="left" vertical="center"/>
      <protection locked="0"/>
    </xf>
    <xf numFmtId="49" fontId="12" fillId="0" borderId="0" xfId="24" applyNumberFormat="1" applyFont="1" applyAlignment="1" applyProtection="1">
      <alignment horizontal="left" vertical="center" wrapText="1"/>
      <protection locked="0"/>
    </xf>
    <xf numFmtId="49" fontId="11" fillId="0" borderId="20" xfId="21" applyNumberFormat="1" applyBorder="1" applyAlignment="1" applyProtection="1">
      <alignment horizontal="center" vertical="center"/>
      <protection locked="0"/>
    </xf>
    <xf numFmtId="49" fontId="11" fillId="0" borderId="0" xfId="26" quotePrefix="1" applyNumberFormat="1" applyAlignment="1" applyProtection="1">
      <alignment horizontal="left" vertical="center"/>
      <protection locked="0"/>
    </xf>
    <xf numFmtId="49" fontId="11" fillId="0" borderId="0" xfId="25" applyNumberFormat="1" applyAlignment="1" applyProtection="1">
      <alignment horizontal="center" vertical="center"/>
      <protection locked="0"/>
    </xf>
    <xf numFmtId="49" fontId="23" fillId="0" borderId="0" xfId="0" applyNumberFormat="1" applyFont="1" applyAlignment="1">
      <alignment horizontal="center" vertical="center"/>
    </xf>
    <xf numFmtId="49" fontId="11" fillId="0" borderId="7" xfId="25" applyNumberFormat="1" applyBorder="1" applyAlignment="1" applyProtection="1">
      <alignment horizontal="center" vertical="center"/>
      <protection locked="0"/>
    </xf>
    <xf numFmtId="49" fontId="23" fillId="0" borderId="7" xfId="0" applyNumberFormat="1" applyFont="1" applyBorder="1" applyAlignment="1">
      <alignment horizontal="center" vertical="center"/>
    </xf>
    <xf numFmtId="49" fontId="23" fillId="0" borderId="32" xfId="0" applyNumberFormat="1" applyFont="1" applyBorder="1" applyAlignment="1">
      <alignment horizontal="center" vertical="center"/>
    </xf>
    <xf numFmtId="49" fontId="11" fillId="0" borderId="0" xfId="26" applyNumberFormat="1" applyAlignment="1" applyProtection="1">
      <alignment horizontal="center" vertical="center"/>
      <protection locked="0"/>
    </xf>
    <xf numFmtId="49" fontId="11" fillId="0" borderId="0" xfId="26" applyNumberFormat="1" applyAlignment="1" applyProtection="1">
      <alignment horizontal="left" vertical="center"/>
      <protection locked="0"/>
    </xf>
    <xf numFmtId="49" fontId="12" fillId="0" borderId="0" xfId="26" applyNumberFormat="1" applyFont="1" applyAlignment="1" applyProtection="1">
      <alignment horizontal="left" vertical="center"/>
      <protection locked="0"/>
    </xf>
    <xf numFmtId="49" fontId="11" fillId="0" borderId="0" xfId="26" applyNumberFormat="1" applyAlignment="1" applyProtection="1">
      <alignment horizontal="left" vertical="center" wrapText="1"/>
      <protection locked="0"/>
    </xf>
    <xf numFmtId="49" fontId="12" fillId="0" borderId="0" xfId="26" applyNumberFormat="1" applyFont="1" applyAlignment="1" applyProtection="1">
      <alignment horizontal="left" vertical="center" wrapText="1"/>
      <protection locked="0"/>
    </xf>
    <xf numFmtId="49" fontId="13" fillId="0" borderId="72" xfId="0" applyNumberFormat="1" applyFont="1" applyBorder="1" applyAlignment="1">
      <alignment horizontal="left" vertical="center"/>
    </xf>
    <xf numFmtId="49" fontId="0" fillId="0" borderId="72" xfId="0" applyNumberFormat="1" applyBorder="1" applyAlignment="1">
      <alignment horizontal="left" vertical="center"/>
    </xf>
    <xf numFmtId="49" fontId="11" fillId="0" borderId="60" xfId="10" applyNumberFormat="1" applyBorder="1" applyAlignment="1" applyProtection="1">
      <alignment horizontal="center" vertical="center"/>
      <protection locked="0"/>
    </xf>
    <xf numFmtId="49" fontId="13" fillId="0" borderId="0" xfId="56" applyNumberFormat="1" applyFont="1" applyAlignment="1">
      <alignment horizontal="left" vertical="center" wrapText="1"/>
    </xf>
    <xf numFmtId="49" fontId="13" fillId="0" borderId="0" xfId="56" applyNumberFormat="1" applyFont="1" applyAlignment="1">
      <alignment horizontal="center" vertical="center"/>
    </xf>
    <xf numFmtId="49" fontId="13" fillId="0" borderId="0" xfId="56" applyNumberFormat="1" applyFont="1" applyAlignment="1">
      <alignment horizontal="right" vertical="center"/>
    </xf>
    <xf numFmtId="49" fontId="13" fillId="0" borderId="15" xfId="56" applyNumberFormat="1" applyFont="1" applyBorder="1" applyAlignment="1">
      <alignment horizontal="center" vertical="center"/>
    </xf>
    <xf numFmtId="49" fontId="14" fillId="0" borderId="72" xfId="56" applyNumberFormat="1" applyFont="1" applyBorder="1" applyAlignment="1">
      <alignment horizontal="left" vertical="center"/>
    </xf>
    <xf numFmtId="49" fontId="13" fillId="0" borderId="0" xfId="56" applyNumberFormat="1" applyFont="1" applyAlignment="1">
      <alignment horizontal="left" vertical="center"/>
    </xf>
  </cellXfs>
  <cellStyles count="66">
    <cellStyle name="Comma" xfId="2" builtinId="3"/>
    <cellStyle name="Comma 2" xfId="58" xr:uid="{82851007-E91E-4289-A277-3E9ED4C5D85A}"/>
    <cellStyle name="Comma 2 10" xfId="51" xr:uid="{00000000-0005-0000-0000-000001000000}"/>
    <cellStyle name="Comma 3" xfId="20" xr:uid="{00000000-0005-0000-0000-000002000000}"/>
    <cellStyle name="Comma 4" xfId="61" xr:uid="{33EE477E-0C3C-4BF6-9889-CA7E6D5948EB}"/>
    <cellStyle name="Comma 53" xfId="47" xr:uid="{00000000-0005-0000-0000-000003000000}"/>
    <cellStyle name="Comma 56" xfId="48" xr:uid="{00000000-0005-0000-0000-000004000000}"/>
    <cellStyle name="Comma 68" xfId="54" xr:uid="{00000000-0005-0000-0000-000005000000}"/>
    <cellStyle name="Currency 2" xfId="59" xr:uid="{99057140-4C9C-437B-8426-3D01C1465006}"/>
    <cellStyle name="Normal" xfId="0" builtinId="0"/>
    <cellStyle name="Normal 10" xfId="63" xr:uid="{AFEEF3CC-C275-41FD-B4D8-9353DEDEC6E7}"/>
    <cellStyle name="Normal 10 2" xfId="41" xr:uid="{00000000-0005-0000-0000-000008000000}"/>
    <cellStyle name="Normal 10 3 2" xfId="62" xr:uid="{A2E5C2FB-370A-4214-A114-3704A98117AB}"/>
    <cellStyle name="Normal 11" xfId="37" xr:uid="{00000000-0005-0000-0000-000009000000}"/>
    <cellStyle name="Normal 12" xfId="40" xr:uid="{00000000-0005-0000-0000-00000A000000}"/>
    <cellStyle name="Normal 13" xfId="43" xr:uid="{00000000-0005-0000-0000-00000B000000}"/>
    <cellStyle name="Normal 14" xfId="44" xr:uid="{00000000-0005-0000-0000-00000C000000}"/>
    <cellStyle name="Normal 15" xfId="46" xr:uid="{00000000-0005-0000-0000-00000D000000}"/>
    <cellStyle name="Normal 16" xfId="49" xr:uid="{00000000-0005-0000-0000-00000E000000}"/>
    <cellStyle name="Normal 17" xfId="53" xr:uid="{00000000-0005-0000-0000-00000F000000}"/>
    <cellStyle name="Normal 18" xfId="30" xr:uid="{00000000-0005-0000-0000-000010000000}"/>
    <cellStyle name="Normal 19" xfId="55" xr:uid="{00000000-0005-0000-0000-000011000000}"/>
    <cellStyle name="Normal 2" xfId="11" xr:uid="{00000000-0005-0000-0000-000012000000}"/>
    <cellStyle name="Normal 2 2" xfId="28" xr:uid="{00000000-0005-0000-0000-000013000000}"/>
    <cellStyle name="Normal 2 3" xfId="33" xr:uid="{00000000-0005-0000-0000-000014000000}"/>
    <cellStyle name="Normal 2 4" xfId="65" xr:uid="{35B6D9D1-EE95-4B1B-9E57-B6A1A5F7C5D3}"/>
    <cellStyle name="Normal 2 5" xfId="39" xr:uid="{00000000-0005-0000-0000-000015000000}"/>
    <cellStyle name="Normal 2 6" xfId="50" xr:uid="{00000000-0005-0000-0000-000016000000}"/>
    <cellStyle name="Normal 20" xfId="32" xr:uid="{00000000-0005-0000-0000-000017000000}"/>
    <cellStyle name="Normal 3" xfId="27" xr:uid="{00000000-0005-0000-0000-000018000000}"/>
    <cellStyle name="Normal 3 2" xfId="34" xr:uid="{00000000-0005-0000-0000-000019000000}"/>
    <cellStyle name="Normal 3 3" xfId="38" xr:uid="{00000000-0005-0000-0000-00001A000000}"/>
    <cellStyle name="Normal 3 5" xfId="42" xr:uid="{00000000-0005-0000-0000-00001B000000}"/>
    <cellStyle name="Normal 3 8" xfId="52" xr:uid="{00000000-0005-0000-0000-00001C000000}"/>
    <cellStyle name="Normal 4" xfId="22" xr:uid="{00000000-0005-0000-0000-00001D000000}"/>
    <cellStyle name="Normal 4 2" xfId="36" xr:uid="{00000000-0005-0000-0000-00001E000000}"/>
    <cellStyle name="Normal 4 3" xfId="64" xr:uid="{1AAA96C2-B172-4BF7-A91C-0EC5A67690B5}"/>
    <cellStyle name="Normal 5" xfId="56" xr:uid="{BEF92E47-E3D2-40E6-B147-94BF7640821C}"/>
    <cellStyle name="Normal 6" xfId="29" xr:uid="{00000000-0005-0000-0000-00001F000000}"/>
    <cellStyle name="Normal 6 3" xfId="45" xr:uid="{00000000-0005-0000-0000-000020000000}"/>
    <cellStyle name="Normal 7" xfId="31" xr:uid="{00000000-0005-0000-0000-000021000000}"/>
    <cellStyle name="Normal 8" xfId="35" xr:uid="{00000000-0005-0000-0000-000022000000}"/>
    <cellStyle name="Normal 9" xfId="57" xr:uid="{965EB423-A3E6-4C27-BD0F-AA6AA654425A}"/>
    <cellStyle name="Normal_02CEM01U" xfId="16" xr:uid="{00000000-0005-0000-0000-000023000000}"/>
    <cellStyle name="Normal_02CEM02U" xfId="15" xr:uid="{00000000-0005-0000-0000-000024000000}"/>
    <cellStyle name="Normal_02CEM06U" xfId="4" xr:uid="{00000000-0005-0000-0000-000026000000}"/>
    <cellStyle name="Normal_02CEM07U" xfId="1" xr:uid="{00000000-0005-0000-0000-000027000000}"/>
    <cellStyle name="Normal_02CEM08U" xfId="5" xr:uid="{00000000-0005-0000-0000-000028000000}"/>
    <cellStyle name="Normal_02CEM09U" xfId="18" xr:uid="{00000000-0005-0000-0000-000029000000}"/>
    <cellStyle name="Normal_02CEM11U" xfId="6" xr:uid="{00000000-0005-0000-0000-00002A000000}"/>
    <cellStyle name="Normal_02CEM12U" xfId="8" xr:uid="{00000000-0005-0000-0000-00002B000000}"/>
    <cellStyle name="Normal_02CEM13U" xfId="9" xr:uid="{00000000-0005-0000-0000-00002C000000}"/>
    <cellStyle name="Normal_02CEM14U" xfId="10" xr:uid="{00000000-0005-0000-0000-00002D000000}"/>
    <cellStyle name="Normal_02CEM15U" xfId="12" xr:uid="{00000000-0005-0000-0000-00002E000000}"/>
    <cellStyle name="Normal_02CEM16U" xfId="14" xr:uid="{00000000-0005-0000-0000-00002F000000}"/>
    <cellStyle name="Normal_02CEM17U" xfId="13" xr:uid="{00000000-0005-0000-0000-000030000000}"/>
    <cellStyle name="Normal_02CEM18U" xfId="19" xr:uid="{00000000-0005-0000-0000-000031000000}"/>
    <cellStyle name="Normal_02CEM19U" xfId="21" xr:uid="{00000000-0005-0000-0000-000032000000}"/>
    <cellStyle name="Normal_02CEM20U" xfId="24" xr:uid="{00000000-0005-0000-0000-000033000000}"/>
    <cellStyle name="Normal_02CEM21U" xfId="25" xr:uid="{00000000-0005-0000-0000-000034000000}"/>
    <cellStyle name="Normal_02CEM22U" xfId="26" xr:uid="{00000000-0005-0000-0000-000035000000}"/>
    <cellStyle name="Normal_mis-200805-cemenR" xfId="7" xr:uid="{00000000-0005-0000-0000-000038000000}"/>
    <cellStyle name="Normal_sheet 2" xfId="23" xr:uid="{00000000-0005-0000-0000-000039000000}"/>
    <cellStyle name="Normal_Table 9 myb2007" xfId="17" xr:uid="{00000000-0005-0000-0000-00003B000000}"/>
    <cellStyle name="Percent" xfId="3" builtinId="5"/>
    <cellStyle name="Percent 2" xfId="60" xr:uid="{72CB9FEE-6D5D-4309-8CC4-2C004A6178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114300</xdr:rowOff>
    </xdr:from>
    <xdr:to>
      <xdr:col>2</xdr:col>
      <xdr:colOff>314449</xdr:colOff>
      <xdr:row>3</xdr:row>
      <xdr:rowOff>91595</xdr:rowOff>
    </xdr:to>
    <xdr:pic>
      <xdr:nvPicPr>
        <xdr:cNvPr id="2" name="Picture 1" title="USGS logo">
          <a:extLst>
            <a:ext uri="{FF2B5EF4-FFF2-40B4-BE49-F238E27FC236}">
              <a16:creationId xmlns:a16="http://schemas.microsoft.com/office/drawing/2014/main" id="{84B7C0EB-5EED-4CF0-9F2D-5440643089E0}"/>
            </a:ext>
          </a:extLst>
        </xdr:cNvPr>
        <xdr:cNvPicPr>
          <a:picLocks noChangeAspect="1"/>
        </xdr:cNvPicPr>
      </xdr:nvPicPr>
      <xdr:blipFill>
        <a:blip xmlns:r="http://schemas.openxmlformats.org/officeDocument/2006/relationships" r:embed="rId1"/>
        <a:stretch>
          <a:fillRect/>
        </a:stretch>
      </xdr:blipFill>
      <xdr:spPr>
        <a:xfrm>
          <a:off x="95250" y="114300"/>
          <a:ext cx="1428874" cy="54879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C02D-1117-497F-BFA0-0833D38E22A7}">
  <sheetPr>
    <tabColor theme="0"/>
  </sheetPr>
  <dimension ref="A4:L14"/>
  <sheetViews>
    <sheetView showGridLines="0" workbookViewId="0">
      <selection activeCell="F17" sqref="F17"/>
    </sheetView>
  </sheetViews>
  <sheetFormatPr defaultColWidth="9.1796875" defaultRowHeight="14.5"/>
  <cols>
    <col min="1" max="1" width="9" style="669" customWidth="1"/>
    <col min="2" max="16384" width="9.1796875" style="669"/>
  </cols>
  <sheetData>
    <row r="4" spans="1:12" ht="15" thickBot="1"/>
    <row r="5" spans="1:12" ht="42.75" customHeight="1">
      <c r="A5" s="684" t="s">
        <v>845</v>
      </c>
      <c r="B5" s="685"/>
      <c r="C5" s="685"/>
      <c r="D5" s="685"/>
      <c r="E5" s="685"/>
      <c r="F5" s="685"/>
      <c r="G5" s="685"/>
      <c r="H5" s="685"/>
      <c r="I5" s="685"/>
      <c r="J5" s="685"/>
      <c r="K5" s="685"/>
      <c r="L5" s="686"/>
    </row>
    <row r="6" spans="1:12" ht="48" customHeight="1">
      <c r="A6" s="687" t="s">
        <v>846</v>
      </c>
      <c r="B6" s="688"/>
      <c r="C6" s="688"/>
      <c r="D6" s="688"/>
      <c r="E6" s="688"/>
      <c r="F6" s="688"/>
      <c r="G6" s="688"/>
      <c r="H6" s="688"/>
      <c r="I6" s="688"/>
      <c r="J6" s="688"/>
      <c r="K6" s="688"/>
      <c r="L6" s="689"/>
    </row>
    <row r="7" spans="1:12" s="673" customFormat="1" ht="23">
      <c r="A7" s="678" t="s">
        <v>847</v>
      </c>
      <c r="B7" s="679"/>
      <c r="C7" s="679"/>
      <c r="D7" s="679"/>
      <c r="E7" s="679"/>
      <c r="F7" s="679"/>
      <c r="G7" s="679"/>
      <c r="H7" s="679"/>
      <c r="I7" s="679"/>
      <c r="J7" s="679"/>
      <c r="K7" s="679"/>
      <c r="L7" s="680"/>
    </row>
    <row r="8" spans="1:12" s="673" customFormat="1" ht="23">
      <c r="A8" s="678" t="s">
        <v>848</v>
      </c>
      <c r="B8" s="679"/>
      <c r="C8" s="679"/>
      <c r="D8" s="679"/>
      <c r="E8" s="679"/>
      <c r="F8" s="679"/>
      <c r="G8" s="679"/>
      <c r="H8" s="679"/>
      <c r="I8" s="679"/>
      <c r="J8" s="679"/>
      <c r="K8" s="679"/>
      <c r="L8" s="680"/>
    </row>
    <row r="9" spans="1:12" s="673" customFormat="1" ht="23">
      <c r="A9" s="678" t="s">
        <v>849</v>
      </c>
      <c r="B9" s="679"/>
      <c r="C9" s="679"/>
      <c r="D9" s="679"/>
      <c r="E9" s="679"/>
      <c r="F9" s="679"/>
      <c r="G9" s="679"/>
      <c r="H9" s="679"/>
      <c r="I9" s="679"/>
      <c r="J9" s="679"/>
      <c r="K9" s="679"/>
      <c r="L9" s="680"/>
    </row>
    <row r="10" spans="1:12" s="673" customFormat="1" ht="23">
      <c r="A10" s="678" t="s">
        <v>850</v>
      </c>
      <c r="B10" s="679"/>
      <c r="C10" s="679"/>
      <c r="D10" s="679"/>
      <c r="E10" s="679"/>
      <c r="F10" s="679"/>
      <c r="G10" s="679"/>
      <c r="H10" s="679"/>
      <c r="I10" s="679"/>
      <c r="J10" s="679"/>
      <c r="K10" s="679"/>
      <c r="L10" s="680"/>
    </row>
    <row r="11" spans="1:12" s="673" customFormat="1" ht="23">
      <c r="A11" s="678" t="s">
        <v>851</v>
      </c>
      <c r="B11" s="679"/>
      <c r="C11" s="679"/>
      <c r="D11" s="679"/>
      <c r="E11" s="679"/>
      <c r="F11" s="679"/>
      <c r="G11" s="679"/>
      <c r="H11" s="679"/>
      <c r="I11" s="679"/>
      <c r="J11" s="679"/>
      <c r="K11" s="679"/>
      <c r="L11" s="680"/>
    </row>
    <row r="12" spans="1:12" s="673" customFormat="1" ht="23">
      <c r="A12" s="670"/>
      <c r="B12" s="671"/>
      <c r="C12" s="671"/>
      <c r="D12" s="671"/>
      <c r="E12" s="671"/>
      <c r="F12" s="671"/>
      <c r="G12" s="671"/>
      <c r="H12" s="671"/>
      <c r="I12" s="671"/>
      <c r="J12" s="671"/>
      <c r="K12" s="671"/>
      <c r="L12" s="672"/>
    </row>
    <row r="13" spans="1:12" ht="22.15" customHeight="1">
      <c r="A13" s="681" t="s">
        <v>852</v>
      </c>
      <c r="B13" s="682"/>
      <c r="C13" s="682"/>
      <c r="D13" s="682"/>
      <c r="E13" s="682"/>
      <c r="F13" s="682"/>
      <c r="G13" s="682"/>
      <c r="H13" s="682"/>
      <c r="I13" s="682"/>
      <c r="J13" s="682"/>
      <c r="K13" s="682"/>
      <c r="L13" s="683"/>
    </row>
    <row r="14" spans="1:12" ht="23.5" thickBot="1">
      <c r="A14" s="674"/>
      <c r="B14" s="675"/>
      <c r="C14" s="675"/>
      <c r="D14" s="675"/>
      <c r="E14" s="675"/>
      <c r="F14" s="675"/>
      <c r="G14" s="675"/>
      <c r="H14" s="675"/>
      <c r="I14" s="675"/>
      <c r="J14" s="675"/>
      <c r="K14" s="675"/>
      <c r="L14" s="676"/>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6"/>
  <sheetViews>
    <sheetView tabSelected="1" zoomScaleNormal="100" workbookViewId="0">
      <selection activeCell="N11" sqref="N11"/>
    </sheetView>
  </sheetViews>
  <sheetFormatPr defaultRowHeight="14"/>
  <cols>
    <col min="1" max="1" width="29.7265625" customWidth="1"/>
    <col min="2" max="2" width="14.7265625" customWidth="1"/>
    <col min="3" max="3" width="1.7265625" customWidth="1"/>
    <col min="4" max="4" width="8.7265625" customWidth="1"/>
    <col min="5" max="5" width="1.7265625" customWidth="1"/>
    <col min="6" max="6" width="8.7265625" customWidth="1"/>
    <col min="7" max="7" width="1.7265625" customWidth="1"/>
    <col min="8" max="8" width="8.7265625" customWidth="1"/>
    <col min="9" max="9" width="1.7265625" customWidth="1"/>
    <col min="10" max="10" width="8.7265625" customWidth="1"/>
    <col min="11" max="11" width="1.7265625" customWidth="1"/>
    <col min="12" max="12" width="8.7265625" customWidth="1"/>
  </cols>
  <sheetData>
    <row r="1" spans="1:13" ht="11.25" customHeight="1">
      <c r="A1" s="690" t="s">
        <v>222</v>
      </c>
      <c r="B1" s="691"/>
      <c r="C1" s="691"/>
      <c r="D1" s="691"/>
      <c r="E1" s="691"/>
      <c r="F1" s="691"/>
      <c r="G1" s="691"/>
      <c r="H1" s="691"/>
      <c r="I1" s="691"/>
      <c r="J1" s="691"/>
      <c r="K1" s="691"/>
      <c r="L1" s="691"/>
    </row>
    <row r="2" spans="1:13" ht="11.25" customHeight="1">
      <c r="A2" s="690" t="s">
        <v>450</v>
      </c>
      <c r="B2" s="690"/>
      <c r="C2" s="690"/>
      <c r="D2" s="690"/>
      <c r="E2" s="690"/>
      <c r="F2" s="690"/>
      <c r="G2" s="690"/>
      <c r="H2" s="690"/>
      <c r="I2" s="690"/>
      <c r="J2" s="690"/>
      <c r="K2" s="690"/>
      <c r="L2" s="690"/>
    </row>
    <row r="3" spans="1:13" ht="11.25" customHeight="1">
      <c r="A3" s="690"/>
      <c r="B3" s="691"/>
      <c r="C3" s="691"/>
      <c r="D3" s="691"/>
      <c r="E3" s="691"/>
      <c r="F3" s="691"/>
      <c r="G3" s="691"/>
      <c r="H3" s="691"/>
      <c r="I3" s="691"/>
      <c r="J3" s="691"/>
      <c r="K3" s="691"/>
      <c r="L3" s="691"/>
    </row>
    <row r="4" spans="1:13" ht="11.25" customHeight="1">
      <c r="A4" s="690" t="s">
        <v>1</v>
      </c>
      <c r="B4" s="690"/>
      <c r="C4" s="690"/>
      <c r="D4" s="690"/>
      <c r="E4" s="690"/>
      <c r="F4" s="690"/>
      <c r="G4" s="690"/>
      <c r="H4" s="690"/>
      <c r="I4" s="690"/>
      <c r="J4" s="690"/>
      <c r="K4" s="690"/>
      <c r="L4" s="690"/>
    </row>
    <row r="5" spans="1:13" ht="11.25" customHeight="1">
      <c r="A5" s="690"/>
      <c r="B5" s="691"/>
      <c r="C5" s="691"/>
      <c r="D5" s="691"/>
      <c r="E5" s="691"/>
      <c r="F5" s="691"/>
      <c r="G5" s="691"/>
      <c r="H5" s="691"/>
      <c r="I5" s="691"/>
      <c r="J5" s="691"/>
      <c r="K5" s="691"/>
      <c r="L5" s="691"/>
    </row>
    <row r="6" spans="1:13" ht="11.25" customHeight="1">
      <c r="A6" s="677" t="s">
        <v>854</v>
      </c>
      <c r="B6" s="152"/>
      <c r="C6" s="211"/>
      <c r="D6" s="152" t="s">
        <v>464</v>
      </c>
      <c r="E6" s="151"/>
      <c r="F6" s="152" t="s">
        <v>485</v>
      </c>
      <c r="G6" s="151"/>
      <c r="H6" s="152" t="s">
        <v>506</v>
      </c>
      <c r="I6" s="151"/>
      <c r="J6" s="152" t="s">
        <v>533</v>
      </c>
      <c r="K6" s="151"/>
      <c r="L6" s="152" t="s">
        <v>724</v>
      </c>
    </row>
    <row r="7" spans="1:13" ht="11.25" customHeight="1">
      <c r="A7" s="368"/>
      <c r="B7" s="271"/>
      <c r="C7" s="272"/>
      <c r="D7" s="273"/>
      <c r="E7" s="274"/>
      <c r="F7" s="273"/>
      <c r="G7" s="274"/>
      <c r="H7" s="273"/>
      <c r="I7" s="274"/>
      <c r="J7" s="273"/>
      <c r="K7" s="274"/>
      <c r="L7" s="273"/>
    </row>
    <row r="8" spans="1:13" ht="11.25" customHeight="1">
      <c r="A8" s="559" t="s">
        <v>43</v>
      </c>
      <c r="B8" s="152"/>
      <c r="C8" s="23"/>
      <c r="D8" s="24"/>
      <c r="E8" s="24"/>
      <c r="F8" s="24"/>
      <c r="G8" s="24"/>
      <c r="H8" s="24"/>
      <c r="I8" s="24"/>
      <c r="J8" s="24"/>
      <c r="K8" s="24"/>
      <c r="L8" s="24"/>
    </row>
    <row r="9" spans="1:13" ht="11.25" customHeight="1">
      <c r="A9" s="559" t="s">
        <v>853</v>
      </c>
      <c r="B9" s="152"/>
      <c r="C9" s="23"/>
      <c r="D9" s="5">
        <v>87600</v>
      </c>
      <c r="E9" s="215"/>
      <c r="F9" s="5">
        <v>89300</v>
      </c>
      <c r="G9" s="215"/>
      <c r="H9" s="5">
        <v>91000</v>
      </c>
      <c r="I9" s="215"/>
      <c r="J9" s="5">
        <v>91200</v>
      </c>
      <c r="K9" s="215"/>
      <c r="L9" s="5">
        <v>89700</v>
      </c>
    </row>
    <row r="10" spans="1:13" ht="11.25" customHeight="1">
      <c r="A10" s="559" t="s">
        <v>82</v>
      </c>
      <c r="B10" s="152"/>
      <c r="C10" s="23"/>
      <c r="D10" s="5">
        <v>78858</v>
      </c>
      <c r="E10" s="215"/>
      <c r="F10" s="5">
        <v>78951</v>
      </c>
      <c r="G10" s="215"/>
      <c r="H10" s="5">
        <v>79616</v>
      </c>
      <c r="I10" s="215"/>
      <c r="J10" s="5">
        <v>79489</v>
      </c>
      <c r="K10" s="215"/>
      <c r="L10" s="5">
        <v>76789</v>
      </c>
    </row>
    <row r="11" spans="1:13" ht="11.25" customHeight="1">
      <c r="A11" s="212" t="s">
        <v>515</v>
      </c>
      <c r="B11" s="152"/>
      <c r="C11" s="23"/>
      <c r="D11" s="5"/>
      <c r="E11" s="214"/>
      <c r="F11" s="5"/>
      <c r="G11" s="214"/>
      <c r="H11" s="5"/>
      <c r="I11" s="214"/>
      <c r="J11" s="5"/>
      <c r="K11" s="214"/>
      <c r="L11" s="5"/>
      <c r="M11" s="112"/>
    </row>
    <row r="12" spans="1:13" ht="11.25" customHeight="1">
      <c r="A12" s="213" t="s">
        <v>62</v>
      </c>
      <c r="B12" s="152"/>
      <c r="C12" s="23"/>
      <c r="D12" s="5">
        <v>103000</v>
      </c>
      <c r="E12" s="215"/>
      <c r="F12" s="5">
        <v>103000</v>
      </c>
      <c r="G12" s="215"/>
      <c r="H12" s="5">
        <v>107000</v>
      </c>
      <c r="I12" s="215"/>
      <c r="J12" s="5">
        <v>110000</v>
      </c>
      <c r="K12" s="215"/>
      <c r="L12" s="5">
        <v>109000</v>
      </c>
      <c r="M12" s="112"/>
    </row>
    <row r="13" spans="1:13" ht="11.25" customHeight="1">
      <c r="A13" s="213" t="s">
        <v>516</v>
      </c>
      <c r="B13" s="152" t="s">
        <v>223</v>
      </c>
      <c r="C13" s="68"/>
      <c r="D13" s="5">
        <v>12700000</v>
      </c>
      <c r="E13" s="215"/>
      <c r="F13" s="5">
        <v>12900000</v>
      </c>
      <c r="G13" s="215"/>
      <c r="H13" s="5">
        <v>13600000</v>
      </c>
      <c r="I13" s="215"/>
      <c r="J13" s="5">
        <v>15300000</v>
      </c>
      <c r="K13" s="215"/>
      <c r="L13" s="5">
        <v>16600000</v>
      </c>
    </row>
    <row r="14" spans="1:13" ht="11.25" customHeight="1">
      <c r="A14" s="213" t="s">
        <v>517</v>
      </c>
      <c r="B14" s="152" t="s">
        <v>224</v>
      </c>
      <c r="C14" s="68"/>
      <c r="D14" s="344">
        <v>123.5</v>
      </c>
      <c r="E14" s="215"/>
      <c r="F14" s="344">
        <v>125</v>
      </c>
      <c r="G14" s="215"/>
      <c r="H14" s="344">
        <v>127</v>
      </c>
      <c r="I14" s="215"/>
      <c r="J14" s="344">
        <v>139</v>
      </c>
      <c r="K14" s="215"/>
      <c r="L14" s="344">
        <v>152</v>
      </c>
    </row>
    <row r="15" spans="1:13" ht="11.25" customHeight="1">
      <c r="A15" s="212" t="s">
        <v>225</v>
      </c>
      <c r="B15" s="152"/>
      <c r="C15" s="23"/>
      <c r="D15" s="5"/>
      <c r="E15" s="214"/>
      <c r="F15" s="5"/>
      <c r="G15" s="214"/>
      <c r="H15" s="5"/>
      <c r="I15" s="214"/>
      <c r="J15" s="5"/>
      <c r="K15" s="214"/>
      <c r="L15" s="5"/>
    </row>
    <row r="16" spans="1:13" ht="11.25" customHeight="1">
      <c r="A16" s="213" t="s">
        <v>111</v>
      </c>
      <c r="B16" s="152"/>
      <c r="C16" s="23"/>
      <c r="D16" s="5">
        <v>7990</v>
      </c>
      <c r="E16" s="215"/>
      <c r="F16" s="5">
        <v>7180</v>
      </c>
      <c r="G16" s="215"/>
      <c r="H16" s="5">
        <v>6280</v>
      </c>
      <c r="I16" s="215"/>
      <c r="J16" s="5">
        <v>8010</v>
      </c>
      <c r="K16" s="146" t="s">
        <v>542</v>
      </c>
      <c r="L16" s="5">
        <v>8830</v>
      </c>
    </row>
    <row r="17" spans="1:20" ht="11.25" customHeight="1">
      <c r="A17" s="213" t="s">
        <v>82</v>
      </c>
      <c r="B17" s="152"/>
      <c r="C17" s="23"/>
      <c r="D17" s="5">
        <v>5230</v>
      </c>
      <c r="E17" s="215"/>
      <c r="F17" s="5">
        <v>4120</v>
      </c>
      <c r="G17" s="215"/>
      <c r="H17" s="5">
        <v>3900</v>
      </c>
      <c r="I17" s="215"/>
      <c r="J17" s="5">
        <v>4360</v>
      </c>
      <c r="K17" s="215"/>
      <c r="L17" s="5">
        <v>5320</v>
      </c>
    </row>
    <row r="18" spans="1:20" ht="11.25" customHeight="1">
      <c r="A18" s="212" t="s">
        <v>226</v>
      </c>
      <c r="B18" s="152"/>
      <c r="C18" s="23"/>
      <c r="D18" s="147">
        <v>1024</v>
      </c>
      <c r="E18" s="146"/>
      <c r="F18" s="147">
        <v>884</v>
      </c>
      <c r="G18" s="146"/>
      <c r="H18" s="147">
        <v>939</v>
      </c>
      <c r="I18" s="146"/>
      <c r="J18" s="147">
        <v>902</v>
      </c>
      <c r="K18" s="146" t="s">
        <v>542</v>
      </c>
      <c r="L18" s="147">
        <v>889</v>
      </c>
    </row>
    <row r="19" spans="1:20" ht="11.25" customHeight="1">
      <c r="A19" s="212" t="s">
        <v>518</v>
      </c>
      <c r="B19" s="152"/>
      <c r="C19" s="23"/>
      <c r="D19" s="5"/>
      <c r="E19" s="235"/>
      <c r="F19" s="5"/>
      <c r="G19" s="235"/>
      <c r="H19" s="5"/>
      <c r="I19" s="235"/>
      <c r="J19" s="5"/>
      <c r="K19" s="235"/>
      <c r="L19" s="5"/>
    </row>
    <row r="20" spans="1:20" ht="11.25" customHeight="1">
      <c r="A20" s="213" t="s">
        <v>111</v>
      </c>
      <c r="B20" s="152"/>
      <c r="C20" s="23"/>
      <c r="D20" s="5">
        <v>14836</v>
      </c>
      <c r="E20" s="146"/>
      <c r="F20" s="5">
        <v>15531</v>
      </c>
      <c r="G20" s="146"/>
      <c r="H20" s="5">
        <v>19937</v>
      </c>
      <c r="I20" s="5"/>
      <c r="J20" s="5">
        <v>24985</v>
      </c>
      <c r="K20" s="146" t="s">
        <v>542</v>
      </c>
      <c r="L20" s="5">
        <v>24986</v>
      </c>
    </row>
    <row r="21" spans="1:20" ht="11.25" customHeight="1">
      <c r="A21" s="213" t="s">
        <v>82</v>
      </c>
      <c r="B21" s="152"/>
      <c r="C21" s="23"/>
      <c r="D21" s="148">
        <v>997</v>
      </c>
      <c r="E21" s="643"/>
      <c r="F21" s="148">
        <v>1204</v>
      </c>
      <c r="G21" s="643"/>
      <c r="H21" s="148">
        <v>1563</v>
      </c>
      <c r="I21" s="643"/>
      <c r="J21" s="148">
        <v>1021</v>
      </c>
      <c r="K21" s="216"/>
      <c r="L21" s="148">
        <v>921</v>
      </c>
    </row>
    <row r="22" spans="1:20" ht="11.25" customHeight="1">
      <c r="A22" s="275" t="s">
        <v>681</v>
      </c>
      <c r="B22" s="152"/>
      <c r="C22" s="23"/>
      <c r="D22" s="35">
        <f>SUM(D20:D21)</f>
        <v>15833</v>
      </c>
      <c r="E22" s="400"/>
      <c r="F22" s="35">
        <f>SUM(F20:F21)</f>
        <v>16735</v>
      </c>
      <c r="G22" s="400"/>
      <c r="H22" s="35">
        <f>SUM(H20:H21)</f>
        <v>21500</v>
      </c>
      <c r="I22" s="400"/>
      <c r="J22" s="35">
        <f>SUM(J20:J21)</f>
        <v>26006</v>
      </c>
      <c r="K22" s="400" t="s">
        <v>542</v>
      </c>
      <c r="L22" s="35">
        <f>SUM(L20:L21)</f>
        <v>25907</v>
      </c>
    </row>
    <row r="23" spans="1:20" ht="11.25" customHeight="1">
      <c r="A23" s="212" t="s">
        <v>682</v>
      </c>
      <c r="B23" s="152"/>
      <c r="C23" s="23"/>
      <c r="D23" s="5">
        <v>102000</v>
      </c>
      <c r="E23" s="215"/>
      <c r="F23" s="5">
        <v>105000</v>
      </c>
      <c r="G23" s="215"/>
      <c r="H23" s="5">
        <v>111000</v>
      </c>
      <c r="I23" s="215"/>
      <c r="J23" s="5">
        <v>114000</v>
      </c>
      <c r="K23" s="215"/>
      <c r="L23" s="5">
        <v>113000</v>
      </c>
      <c r="R23" s="257"/>
      <c r="T23" s="257"/>
    </row>
    <row r="24" spans="1:20" ht="11.25" customHeight="1">
      <c r="A24" s="559" t="s">
        <v>814</v>
      </c>
      <c r="B24" s="152"/>
      <c r="C24" s="69"/>
      <c r="D24" s="374">
        <v>4200000</v>
      </c>
      <c r="E24" s="373"/>
      <c r="F24" s="374">
        <v>4210000</v>
      </c>
      <c r="G24" s="636" t="s">
        <v>542</v>
      </c>
      <c r="H24" s="374">
        <v>4360000</v>
      </c>
      <c r="I24" s="636" t="s">
        <v>542</v>
      </c>
      <c r="J24" s="374">
        <v>4060000</v>
      </c>
      <c r="K24" s="636" t="s">
        <v>542</v>
      </c>
      <c r="L24" s="374">
        <v>4090000</v>
      </c>
    </row>
    <row r="25" spans="1:20" ht="11.25" customHeight="1">
      <c r="A25" s="692" t="s">
        <v>815</v>
      </c>
      <c r="B25" s="692"/>
      <c r="C25" s="692"/>
      <c r="D25" s="692"/>
      <c r="E25" s="692"/>
      <c r="F25" s="692"/>
      <c r="G25" s="692"/>
      <c r="H25" s="692"/>
      <c r="I25" s="692"/>
      <c r="J25" s="692"/>
      <c r="K25" s="692"/>
      <c r="L25" s="692"/>
    </row>
    <row r="26" spans="1:20" s="132" customFormat="1" ht="22.5" customHeight="1">
      <c r="A26" s="695" t="s">
        <v>816</v>
      </c>
      <c r="B26" s="696"/>
      <c r="C26" s="696"/>
      <c r="D26" s="696"/>
      <c r="E26" s="696"/>
      <c r="F26" s="696"/>
      <c r="G26" s="696"/>
      <c r="H26" s="696"/>
      <c r="I26" s="696"/>
      <c r="J26" s="696"/>
      <c r="K26" s="696"/>
      <c r="L26" s="696"/>
    </row>
    <row r="27" spans="1:20" ht="11.25" customHeight="1">
      <c r="A27" s="692" t="s">
        <v>227</v>
      </c>
      <c r="B27" s="694"/>
      <c r="C27" s="694"/>
      <c r="D27" s="694"/>
      <c r="E27" s="694"/>
      <c r="F27" s="694"/>
      <c r="G27" s="694"/>
      <c r="H27" s="694"/>
      <c r="I27" s="694"/>
      <c r="J27" s="694"/>
      <c r="K27" s="694"/>
      <c r="L27" s="694"/>
    </row>
    <row r="28" spans="1:20" ht="22.5" customHeight="1">
      <c r="A28" s="695" t="s">
        <v>529</v>
      </c>
      <c r="B28" s="696"/>
      <c r="C28" s="696"/>
      <c r="D28" s="696"/>
      <c r="E28" s="696"/>
      <c r="F28" s="696"/>
      <c r="G28" s="696"/>
      <c r="H28" s="696"/>
      <c r="I28" s="696"/>
      <c r="J28" s="696"/>
      <c r="K28" s="696"/>
      <c r="L28" s="696"/>
    </row>
    <row r="29" spans="1:20" ht="11.25" customHeight="1">
      <c r="A29" s="692" t="s">
        <v>511</v>
      </c>
      <c r="B29" s="694"/>
      <c r="C29" s="694"/>
      <c r="D29" s="694"/>
      <c r="E29" s="694"/>
      <c r="F29" s="694"/>
      <c r="G29" s="694"/>
      <c r="H29" s="694"/>
      <c r="I29" s="694"/>
      <c r="J29" s="694"/>
      <c r="K29" s="694"/>
      <c r="L29" s="694"/>
    </row>
    <row r="30" spans="1:20" ht="22.5" customHeight="1">
      <c r="A30" s="695" t="s">
        <v>512</v>
      </c>
      <c r="B30" s="696"/>
      <c r="C30" s="696"/>
      <c r="D30" s="696"/>
      <c r="E30" s="696"/>
      <c r="F30" s="696"/>
      <c r="G30" s="696"/>
      <c r="H30" s="696"/>
      <c r="I30" s="696"/>
      <c r="J30" s="696"/>
      <c r="K30" s="696"/>
      <c r="L30" s="696"/>
      <c r="R30" s="399"/>
    </row>
    <row r="31" spans="1:20" ht="11.25" customHeight="1">
      <c r="A31" s="693" t="s">
        <v>513</v>
      </c>
      <c r="B31" s="694"/>
      <c r="C31" s="694"/>
      <c r="D31" s="694"/>
      <c r="E31" s="694"/>
      <c r="F31" s="694"/>
      <c r="G31" s="694"/>
      <c r="H31" s="694"/>
      <c r="I31" s="694"/>
      <c r="J31" s="694"/>
      <c r="K31" s="694"/>
      <c r="L31" s="694"/>
    </row>
    <row r="32" spans="1:20" ht="11.25" customHeight="1">
      <c r="A32" s="692" t="s">
        <v>514</v>
      </c>
      <c r="B32" s="694"/>
      <c r="C32" s="694"/>
      <c r="D32" s="694"/>
      <c r="E32" s="694"/>
      <c r="F32" s="694"/>
      <c r="G32" s="694"/>
      <c r="H32" s="694"/>
      <c r="I32" s="694"/>
      <c r="J32" s="694"/>
      <c r="K32" s="694"/>
      <c r="L32" s="694"/>
    </row>
    <row r="33" spans="1:12" ht="11.25" customHeight="1">
      <c r="A33" s="692" t="s">
        <v>678</v>
      </c>
      <c r="B33" s="694"/>
      <c r="C33" s="694"/>
      <c r="D33" s="694"/>
      <c r="E33" s="694"/>
      <c r="F33" s="694"/>
      <c r="G33" s="694"/>
      <c r="H33" s="694"/>
      <c r="I33" s="694"/>
      <c r="J33" s="694"/>
      <c r="K33" s="694"/>
      <c r="L33" s="694"/>
    </row>
    <row r="34" spans="1:12" ht="11.25" customHeight="1">
      <c r="A34" s="693" t="s">
        <v>679</v>
      </c>
      <c r="B34" s="694"/>
      <c r="C34" s="694"/>
      <c r="D34" s="694"/>
      <c r="E34" s="694"/>
      <c r="F34" s="694"/>
      <c r="G34" s="694"/>
      <c r="H34" s="694"/>
      <c r="I34" s="694"/>
      <c r="J34" s="694"/>
      <c r="K34" s="694"/>
      <c r="L34" s="694"/>
    </row>
    <row r="35" spans="1:12" ht="11.25" customHeight="1">
      <c r="A35" s="692" t="s">
        <v>680</v>
      </c>
      <c r="B35" s="694"/>
      <c r="C35" s="694"/>
      <c r="D35" s="694"/>
      <c r="E35" s="694"/>
      <c r="F35" s="694"/>
      <c r="G35" s="694"/>
      <c r="H35" s="694"/>
      <c r="I35" s="694"/>
      <c r="J35" s="694"/>
      <c r="K35" s="694"/>
      <c r="L35" s="694"/>
    </row>
    <row r="36" spans="1:12">
      <c r="A36" s="692" t="s">
        <v>718</v>
      </c>
      <c r="B36" s="693"/>
      <c r="C36" s="693"/>
      <c r="D36" s="693"/>
      <c r="E36" s="693"/>
      <c r="F36" s="693"/>
      <c r="G36" s="693"/>
      <c r="H36" s="693"/>
      <c r="I36" s="693"/>
      <c r="J36" s="693"/>
      <c r="K36" s="693"/>
      <c r="L36" s="693"/>
    </row>
  </sheetData>
  <mergeCells count="17">
    <mergeCell ref="A36:L36"/>
    <mergeCell ref="A25:L25"/>
    <mergeCell ref="A27:L27"/>
    <mergeCell ref="A28:L28"/>
    <mergeCell ref="A26:L26"/>
    <mergeCell ref="A29:L29"/>
    <mergeCell ref="A33:L33"/>
    <mergeCell ref="A30:L30"/>
    <mergeCell ref="A34:L34"/>
    <mergeCell ref="A35:L35"/>
    <mergeCell ref="A31:L31"/>
    <mergeCell ref="A32:L32"/>
    <mergeCell ref="A1:L1"/>
    <mergeCell ref="A2:L2"/>
    <mergeCell ref="A3:L3"/>
    <mergeCell ref="A4:L4"/>
    <mergeCell ref="A5:L5"/>
  </mergeCells>
  <pageMargins left="0.5" right="0.5" top="0.75" bottom="0.5" header="0.3" footer="0.3"/>
  <pageSetup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selection activeCell="C39" sqref="C39"/>
    </sheetView>
  </sheetViews>
  <sheetFormatPr defaultRowHeight="14"/>
  <cols>
    <col min="1" max="1" width="20.81640625" customWidth="1"/>
    <col min="2" max="2" width="1.7265625" customWidth="1"/>
    <col min="3" max="3" width="70.81640625" customWidth="1"/>
  </cols>
  <sheetData>
    <row r="1" spans="1:3" ht="11.25" customHeight="1">
      <c r="A1" s="697" t="s">
        <v>194</v>
      </c>
      <c r="B1" s="697"/>
      <c r="C1" s="697"/>
    </row>
    <row r="2" spans="1:3" ht="11.25" customHeight="1">
      <c r="A2" s="697" t="s">
        <v>195</v>
      </c>
      <c r="B2" s="697"/>
      <c r="C2" s="697"/>
    </row>
    <row r="3" spans="1:3" ht="11.25" customHeight="1">
      <c r="A3" s="698"/>
      <c r="B3" s="698"/>
      <c r="C3" s="698"/>
    </row>
    <row r="4" spans="1:3" ht="11.25" customHeight="1">
      <c r="A4" s="217" t="s">
        <v>196</v>
      </c>
      <c r="B4" s="217"/>
      <c r="C4" s="217" t="s">
        <v>197</v>
      </c>
    </row>
    <row r="5" spans="1:3" ht="11.25" customHeight="1">
      <c r="A5" s="218" t="s">
        <v>198</v>
      </c>
      <c r="B5" s="218"/>
      <c r="C5" s="218" t="s">
        <v>199</v>
      </c>
    </row>
    <row r="6" spans="1:3" ht="11.25" customHeight="1">
      <c r="A6" s="219" t="s">
        <v>200</v>
      </c>
      <c r="B6" s="219"/>
      <c r="C6" s="219" t="s">
        <v>201</v>
      </c>
    </row>
    <row r="7" spans="1:3" ht="11.25" customHeight="1">
      <c r="A7" s="219" t="s">
        <v>202</v>
      </c>
      <c r="B7" s="219"/>
      <c r="C7" s="219" t="s">
        <v>203</v>
      </c>
    </row>
    <row r="8" spans="1:3" ht="11.25" customHeight="1">
      <c r="A8" s="219" t="s">
        <v>204</v>
      </c>
      <c r="B8" s="219"/>
      <c r="C8" s="219" t="s">
        <v>500</v>
      </c>
    </row>
    <row r="9" spans="1:3" ht="11.25" customHeight="1">
      <c r="A9" s="220" t="s">
        <v>205</v>
      </c>
      <c r="B9" s="220"/>
      <c r="C9" s="220" t="s">
        <v>206</v>
      </c>
    </row>
    <row r="10" spans="1:3" ht="11.25" customHeight="1">
      <c r="A10" s="219"/>
      <c r="B10" s="219"/>
      <c r="C10" s="221" t="s">
        <v>207</v>
      </c>
    </row>
    <row r="11" spans="1:3" ht="11.25" customHeight="1">
      <c r="A11" s="220" t="s">
        <v>210</v>
      </c>
      <c r="B11" s="220"/>
      <c r="C11" s="220" t="s">
        <v>211</v>
      </c>
    </row>
    <row r="12" spans="1:3" ht="11.25" customHeight="1">
      <c r="A12" s="219"/>
      <c r="B12" s="219"/>
      <c r="C12" s="221" t="s">
        <v>212</v>
      </c>
    </row>
    <row r="13" spans="1:3" ht="11.25" customHeight="1">
      <c r="A13" s="219" t="s">
        <v>208</v>
      </c>
      <c r="B13" s="219"/>
      <c r="C13" s="219" t="s">
        <v>209</v>
      </c>
    </row>
    <row r="14" spans="1:3" ht="11.25" customHeight="1">
      <c r="A14" s="218" t="s">
        <v>213</v>
      </c>
      <c r="B14" s="218"/>
      <c r="C14" s="218" t="s">
        <v>214</v>
      </c>
    </row>
    <row r="15" spans="1:3" ht="11.25" customHeight="1">
      <c r="A15" s="219" t="s">
        <v>215</v>
      </c>
      <c r="B15" s="219"/>
      <c r="C15" s="219" t="s">
        <v>216</v>
      </c>
    </row>
    <row r="16" spans="1:3" ht="11.25" customHeight="1">
      <c r="A16" s="220" t="s">
        <v>20</v>
      </c>
      <c r="B16" s="220"/>
      <c r="C16" s="220" t="s">
        <v>217</v>
      </c>
    </row>
    <row r="17" spans="1:3" ht="11.25" customHeight="1">
      <c r="A17" s="222"/>
      <c r="B17" s="222"/>
      <c r="C17" s="223" t="s">
        <v>218</v>
      </c>
    </row>
    <row r="18" spans="1:3" ht="11.25" customHeight="1">
      <c r="A18" s="224"/>
      <c r="B18" s="224"/>
      <c r="C18" s="225" t="s">
        <v>219</v>
      </c>
    </row>
    <row r="19" spans="1:3" ht="11.25" customHeight="1">
      <c r="A19" s="222" t="s">
        <v>21</v>
      </c>
      <c r="B19" s="222"/>
      <c r="C19" s="222" t="s">
        <v>220</v>
      </c>
    </row>
    <row r="20" spans="1:3" ht="11.25" customHeight="1">
      <c r="A20" s="224"/>
      <c r="B20" s="224"/>
      <c r="C20" s="225" t="s">
        <v>221</v>
      </c>
    </row>
    <row r="21" spans="1:3" ht="11.25" customHeight="1"/>
    <row r="22" spans="1:3" ht="11.25" customHeight="1"/>
    <row r="23" spans="1:3" ht="11.25" customHeight="1"/>
    <row r="24" spans="1:3" ht="11.25" customHeight="1"/>
    <row r="25" spans="1:3" ht="11.25" customHeight="1"/>
    <row r="26" spans="1:3" ht="11.25" customHeight="1"/>
    <row r="27" spans="1:3" ht="11.25" customHeight="1"/>
    <row r="28" spans="1:3" ht="11.25" customHeight="1"/>
    <row r="29" spans="1:3" ht="11.25" customHeight="1"/>
    <row r="30" spans="1:3" ht="11.25" customHeight="1"/>
    <row r="31" spans="1:3" ht="11.25" customHeight="1"/>
    <row r="32" spans="1:3" ht="11.25" customHeight="1"/>
    <row r="33" ht="11.25" customHeight="1"/>
  </sheetData>
  <mergeCells count="3">
    <mergeCell ref="A1:C1"/>
    <mergeCell ref="A2:C2"/>
    <mergeCell ref="A3:C3"/>
  </mergeCells>
  <pageMargins left="0.5" right="0.5" top="0.75" bottom="0.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4"/>
  <sheetViews>
    <sheetView zoomScaleNormal="100" workbookViewId="0">
      <selection sqref="A1:W1"/>
    </sheetView>
  </sheetViews>
  <sheetFormatPr defaultColWidth="9.1796875" defaultRowHeight="10.5"/>
  <cols>
    <col min="1" max="1" width="27.7265625" style="1" customWidth="1"/>
    <col min="2" max="2" width="1.7265625" style="1" customWidth="1"/>
    <col min="3" max="3" width="6" style="1" customWidth="1"/>
    <col min="4" max="4" width="1.7265625" style="1" customWidth="1"/>
    <col min="5" max="5" width="7.7265625" style="1" customWidth="1"/>
    <col min="6" max="6" width="1.7265625" style="1" customWidth="1"/>
    <col min="7" max="7" width="7.7265625" style="1" customWidth="1"/>
    <col min="8" max="8" width="1.7265625" style="1" customWidth="1"/>
    <col min="9" max="9" width="7.7265625" style="1" customWidth="1"/>
    <col min="10" max="10" width="1.7265625" style="1" customWidth="1"/>
    <col min="11" max="11" width="7.7265625" style="1" customWidth="1"/>
    <col min="12" max="12" width="2.7265625" style="1" customWidth="1"/>
    <col min="13" max="13" width="1.7265625" style="1" customWidth="1"/>
    <col min="14" max="14" width="6" style="1" customWidth="1"/>
    <col min="15" max="15" width="1.7265625" style="1" customWidth="1"/>
    <col min="16" max="16" width="7.7265625" style="1" customWidth="1"/>
    <col min="17" max="17" width="1.7265625" style="1" customWidth="1"/>
    <col min="18" max="18" width="7.7265625" style="1" customWidth="1"/>
    <col min="19" max="19" width="1.7265625" style="1" customWidth="1"/>
    <col min="20" max="20" width="7.7265625" style="1" customWidth="1"/>
    <col min="21" max="21" width="1.7265625" style="1" customWidth="1"/>
    <col min="22" max="22" width="7.7265625" style="1" customWidth="1"/>
    <col min="23" max="23" width="2.7265625" style="1" customWidth="1"/>
    <col min="24" max="16384" width="9.1796875" style="1"/>
  </cols>
  <sheetData>
    <row r="1" spans="1:26" ht="11.25" customHeight="1">
      <c r="A1" s="703" t="s">
        <v>0</v>
      </c>
      <c r="B1" s="703"/>
      <c r="C1" s="703"/>
      <c r="D1" s="703"/>
      <c r="E1" s="703"/>
      <c r="F1" s="703"/>
      <c r="G1" s="703"/>
      <c r="H1" s="703"/>
      <c r="I1" s="703"/>
      <c r="J1" s="703"/>
      <c r="K1" s="703"/>
      <c r="L1" s="703"/>
      <c r="M1" s="703"/>
      <c r="N1" s="703"/>
      <c r="O1" s="703"/>
      <c r="P1" s="703"/>
      <c r="Q1" s="703"/>
      <c r="R1" s="703"/>
      <c r="S1" s="703"/>
      <c r="T1" s="703"/>
      <c r="U1" s="703"/>
      <c r="V1" s="703"/>
      <c r="W1" s="703"/>
    </row>
    <row r="2" spans="1:26" ht="11.25" customHeight="1">
      <c r="A2" s="703" t="s">
        <v>359</v>
      </c>
      <c r="B2" s="703"/>
      <c r="C2" s="703"/>
      <c r="D2" s="703"/>
      <c r="E2" s="703"/>
      <c r="F2" s="703"/>
      <c r="G2" s="703"/>
      <c r="H2" s="703"/>
      <c r="I2" s="703"/>
      <c r="J2" s="703"/>
      <c r="K2" s="703"/>
      <c r="L2" s="703"/>
      <c r="M2" s="703"/>
      <c r="N2" s="703"/>
      <c r="O2" s="703"/>
      <c r="P2" s="703"/>
      <c r="Q2" s="703"/>
      <c r="R2" s="703"/>
      <c r="S2" s="703"/>
      <c r="T2" s="703"/>
      <c r="U2" s="703"/>
      <c r="V2" s="703"/>
      <c r="W2" s="703"/>
    </row>
    <row r="3" spans="1:26" ht="11.25" customHeight="1">
      <c r="A3" s="703"/>
      <c r="B3" s="691"/>
      <c r="C3" s="691"/>
      <c r="D3" s="691"/>
      <c r="E3" s="691"/>
      <c r="F3" s="691"/>
      <c r="G3" s="691"/>
      <c r="H3" s="691"/>
      <c r="I3" s="691"/>
      <c r="J3" s="691"/>
      <c r="K3" s="691"/>
      <c r="L3" s="691"/>
      <c r="M3" s="691"/>
      <c r="N3" s="691"/>
      <c r="O3" s="691"/>
      <c r="P3" s="691"/>
      <c r="Q3" s="691"/>
      <c r="R3" s="691"/>
      <c r="S3" s="691"/>
      <c r="T3" s="691"/>
      <c r="U3" s="691"/>
      <c r="V3" s="691"/>
      <c r="W3" s="691"/>
    </row>
    <row r="4" spans="1:26" ht="11.25" customHeight="1">
      <c r="A4" s="703" t="s">
        <v>1</v>
      </c>
      <c r="B4" s="703"/>
      <c r="C4" s="703"/>
      <c r="D4" s="703"/>
      <c r="E4" s="703"/>
      <c r="F4" s="703"/>
      <c r="G4" s="703"/>
      <c r="H4" s="703"/>
      <c r="I4" s="703"/>
      <c r="J4" s="703"/>
      <c r="K4" s="703"/>
      <c r="L4" s="703"/>
      <c r="M4" s="703"/>
      <c r="N4" s="703"/>
      <c r="O4" s="703"/>
      <c r="P4" s="703"/>
      <c r="Q4" s="703"/>
      <c r="R4" s="703"/>
      <c r="S4" s="703"/>
      <c r="T4" s="703"/>
      <c r="U4" s="703"/>
      <c r="V4" s="703"/>
      <c r="W4" s="703"/>
    </row>
    <row r="5" spans="1:26" ht="11.25" customHeight="1">
      <c r="A5" s="706" t="s">
        <v>56</v>
      </c>
      <c r="B5" s="707"/>
      <c r="C5" s="707"/>
      <c r="D5" s="707"/>
      <c r="E5" s="707"/>
      <c r="F5" s="707"/>
      <c r="G5" s="707"/>
      <c r="H5" s="707"/>
      <c r="I5" s="707"/>
      <c r="J5" s="707"/>
      <c r="K5" s="707"/>
      <c r="L5" s="707"/>
      <c r="M5" s="707"/>
      <c r="N5" s="707"/>
      <c r="O5" s="707"/>
      <c r="P5" s="707"/>
      <c r="Q5" s="707"/>
      <c r="R5" s="707"/>
      <c r="S5" s="707"/>
      <c r="T5" s="707"/>
      <c r="U5" s="707"/>
      <c r="V5" s="707"/>
      <c r="W5" s="707"/>
    </row>
    <row r="6" spans="1:26" ht="11.25" customHeight="1">
      <c r="A6" s="210"/>
      <c r="B6" s="210"/>
      <c r="C6" s="708" t="s">
        <v>533</v>
      </c>
      <c r="D6" s="705"/>
      <c r="E6" s="705"/>
      <c r="F6" s="705"/>
      <c r="G6" s="705"/>
      <c r="H6" s="705"/>
      <c r="I6" s="705"/>
      <c r="J6" s="705"/>
      <c r="K6" s="705"/>
      <c r="L6" s="705"/>
      <c r="M6" s="210"/>
      <c r="N6" s="704" t="s">
        <v>724</v>
      </c>
      <c r="O6" s="705"/>
      <c r="P6" s="705"/>
      <c r="Q6" s="705"/>
      <c r="R6" s="705"/>
      <c r="S6" s="705"/>
      <c r="T6" s="705"/>
      <c r="U6" s="705"/>
      <c r="V6" s="705"/>
      <c r="W6" s="705"/>
    </row>
    <row r="7" spans="1:26" ht="11.25" customHeight="1">
      <c r="A7" s="226"/>
      <c r="B7" s="226"/>
      <c r="C7" s="210" t="s">
        <v>2</v>
      </c>
      <c r="D7" s="210"/>
      <c r="E7" s="210"/>
      <c r="F7" s="210"/>
      <c r="G7" s="210" t="s">
        <v>3</v>
      </c>
      <c r="H7" s="279"/>
      <c r="I7" s="210" t="s">
        <v>4</v>
      </c>
      <c r="J7" s="279"/>
      <c r="K7" s="210" t="s">
        <v>5</v>
      </c>
      <c r="L7" s="279"/>
      <c r="M7" s="226"/>
      <c r="N7" s="210" t="s">
        <v>2</v>
      </c>
      <c r="O7" s="210"/>
      <c r="P7" s="210"/>
      <c r="Q7" s="210"/>
      <c r="R7" s="210" t="s">
        <v>3</v>
      </c>
      <c r="S7" s="279"/>
      <c r="T7" s="210" t="s">
        <v>4</v>
      </c>
      <c r="U7" s="279"/>
      <c r="V7" s="210" t="s">
        <v>5</v>
      </c>
      <c r="W7" s="279"/>
    </row>
    <row r="8" spans="1:26" ht="11.25" customHeight="1">
      <c r="A8" s="227" t="s">
        <v>434</v>
      </c>
      <c r="B8" s="227"/>
      <c r="C8" s="297" t="s">
        <v>6</v>
      </c>
      <c r="D8" s="297"/>
      <c r="E8" s="297" t="s">
        <v>435</v>
      </c>
      <c r="F8" s="298"/>
      <c r="G8" s="297" t="s">
        <v>436</v>
      </c>
      <c r="H8" s="298"/>
      <c r="I8" s="297" t="s">
        <v>437</v>
      </c>
      <c r="J8" s="298"/>
      <c r="K8" s="297" t="s">
        <v>438</v>
      </c>
      <c r="L8" s="298"/>
      <c r="M8" s="266"/>
      <c r="N8" s="297" t="s">
        <v>6</v>
      </c>
      <c r="O8" s="297"/>
      <c r="P8" s="297" t="s">
        <v>435</v>
      </c>
      <c r="Q8" s="298"/>
      <c r="R8" s="297" t="s">
        <v>436</v>
      </c>
      <c r="S8" s="298"/>
      <c r="T8" s="297" t="s">
        <v>437</v>
      </c>
      <c r="U8" s="298"/>
      <c r="V8" s="297" t="s">
        <v>438</v>
      </c>
      <c r="W8" s="298"/>
    </row>
    <row r="9" spans="1:26" ht="11.25" customHeight="1">
      <c r="A9" s="228" t="s">
        <v>7</v>
      </c>
      <c r="C9" s="391">
        <v>4</v>
      </c>
      <c r="D9" s="419"/>
      <c r="E9" s="391">
        <v>2019</v>
      </c>
      <c r="F9" s="419"/>
      <c r="G9" s="391">
        <v>3258</v>
      </c>
      <c r="H9" s="420"/>
      <c r="I9" s="421">
        <v>62</v>
      </c>
      <c r="J9" s="420"/>
      <c r="K9" s="391">
        <v>92</v>
      </c>
      <c r="L9" s="420"/>
      <c r="M9" s="2"/>
      <c r="N9" s="391">
        <v>4</v>
      </c>
      <c r="O9" s="419"/>
      <c r="P9" s="391">
        <v>1944</v>
      </c>
      <c r="Q9" s="419"/>
      <c r="R9" s="391">
        <v>3258</v>
      </c>
      <c r="S9" s="420"/>
      <c r="T9" s="421">
        <v>59.7</v>
      </c>
      <c r="U9" s="420"/>
      <c r="V9" s="391">
        <v>112</v>
      </c>
      <c r="W9" s="420"/>
      <c r="X9" s="67"/>
      <c r="Y9" s="397"/>
      <c r="Z9" s="67"/>
    </row>
    <row r="10" spans="1:26" ht="11.25" customHeight="1">
      <c r="A10" s="392" t="s">
        <v>496</v>
      </c>
      <c r="C10" s="391">
        <v>7</v>
      </c>
      <c r="D10" s="419"/>
      <c r="E10" s="391">
        <v>3670</v>
      </c>
      <c r="F10" s="149"/>
      <c r="G10" s="391">
        <v>5790</v>
      </c>
      <c r="H10" s="149"/>
      <c r="I10" s="421">
        <v>63.4</v>
      </c>
      <c r="J10" s="149"/>
      <c r="K10" s="391">
        <v>248</v>
      </c>
      <c r="L10" s="149"/>
      <c r="M10" s="2"/>
      <c r="N10" s="391">
        <v>7</v>
      </c>
      <c r="O10" s="419"/>
      <c r="P10" s="391">
        <v>3450</v>
      </c>
      <c r="Q10" s="149"/>
      <c r="R10" s="391">
        <v>5790</v>
      </c>
      <c r="S10" s="149"/>
      <c r="T10" s="421">
        <v>59.7</v>
      </c>
      <c r="U10" s="149"/>
      <c r="V10" s="391">
        <v>247</v>
      </c>
      <c r="W10" s="149"/>
      <c r="X10" s="67"/>
      <c r="Y10" s="397"/>
      <c r="Z10" s="67"/>
    </row>
    <row r="11" spans="1:26" ht="11.25" customHeight="1">
      <c r="A11" s="228" t="s">
        <v>9</v>
      </c>
      <c r="C11" s="391">
        <v>3</v>
      </c>
      <c r="D11" s="419"/>
      <c r="E11" s="391">
        <v>1310</v>
      </c>
      <c r="F11" s="149" t="s">
        <v>405</v>
      </c>
      <c r="G11" s="391">
        <v>2530</v>
      </c>
      <c r="H11" s="149" t="s">
        <v>405</v>
      </c>
      <c r="I11" s="421">
        <v>51.7</v>
      </c>
      <c r="J11" s="149" t="s">
        <v>405</v>
      </c>
      <c r="K11" s="391">
        <v>157</v>
      </c>
      <c r="L11" s="149" t="s">
        <v>818</v>
      </c>
      <c r="M11" s="2"/>
      <c r="N11" s="391">
        <v>3</v>
      </c>
      <c r="O11" s="419"/>
      <c r="P11" s="391">
        <v>1329</v>
      </c>
      <c r="Q11" s="149"/>
      <c r="R11" s="391">
        <v>2531</v>
      </c>
      <c r="S11" s="149"/>
      <c r="T11" s="421">
        <v>52.5</v>
      </c>
      <c r="U11" s="149"/>
      <c r="V11" s="391">
        <v>218</v>
      </c>
      <c r="W11" s="149"/>
      <c r="X11" s="390"/>
      <c r="Y11" s="397"/>
      <c r="Z11" s="67"/>
    </row>
    <row r="12" spans="1:26" ht="11.25" customHeight="1">
      <c r="A12" s="228" t="s">
        <v>357</v>
      </c>
      <c r="C12" s="391">
        <v>6</v>
      </c>
      <c r="D12" s="419"/>
      <c r="E12" s="391">
        <v>3643</v>
      </c>
      <c r="F12" s="419"/>
      <c r="G12" s="391">
        <v>4964</v>
      </c>
      <c r="H12" s="149"/>
      <c r="I12" s="421">
        <v>73.400000000000006</v>
      </c>
      <c r="J12" s="149"/>
      <c r="K12" s="391">
        <v>551</v>
      </c>
      <c r="L12" s="149"/>
      <c r="M12" s="2"/>
      <c r="N12" s="391">
        <v>6</v>
      </c>
      <c r="O12" s="419"/>
      <c r="P12" s="391">
        <v>3842</v>
      </c>
      <c r="Q12" s="419"/>
      <c r="R12" s="391">
        <v>5679</v>
      </c>
      <c r="S12" s="149"/>
      <c r="T12" s="421">
        <v>67.599999999999994</v>
      </c>
      <c r="U12" s="149"/>
      <c r="V12" s="391">
        <v>425</v>
      </c>
      <c r="W12" s="149"/>
      <c r="X12" s="67"/>
      <c r="Y12" s="397"/>
      <c r="Z12" s="67"/>
    </row>
    <row r="13" spans="1:26" ht="11.25" customHeight="1">
      <c r="A13" s="228" t="s">
        <v>11</v>
      </c>
      <c r="C13" s="391">
        <v>3</v>
      </c>
      <c r="D13" s="419"/>
      <c r="E13" s="391">
        <v>4423</v>
      </c>
      <c r="F13" s="149"/>
      <c r="G13" s="391">
        <v>5738</v>
      </c>
      <c r="H13" s="149"/>
      <c r="I13" s="421">
        <v>77.099999999999994</v>
      </c>
      <c r="J13" s="149"/>
      <c r="K13" s="391">
        <v>1720</v>
      </c>
      <c r="L13" s="149" t="s">
        <v>701</v>
      </c>
      <c r="M13" s="2"/>
      <c r="N13" s="391">
        <v>3</v>
      </c>
      <c r="O13" s="419"/>
      <c r="P13" s="391">
        <v>4778</v>
      </c>
      <c r="Q13" s="149"/>
      <c r="R13" s="391">
        <v>5738</v>
      </c>
      <c r="S13" s="149"/>
      <c r="T13" s="421">
        <v>83.3</v>
      </c>
      <c r="U13" s="149"/>
      <c r="V13" s="391">
        <v>1525</v>
      </c>
      <c r="W13" s="149" t="s">
        <v>701</v>
      </c>
      <c r="X13" s="553"/>
      <c r="Y13" s="397"/>
      <c r="Z13" s="67"/>
    </row>
    <row r="14" spans="1:26" ht="11.25" customHeight="1">
      <c r="A14" s="228" t="s">
        <v>13</v>
      </c>
      <c r="C14" s="391">
        <v>4</v>
      </c>
      <c r="D14" s="419"/>
      <c r="E14" s="391">
        <v>3595</v>
      </c>
      <c r="F14" s="419"/>
      <c r="G14" s="391">
        <v>4340</v>
      </c>
      <c r="H14" s="149"/>
      <c r="I14" s="421">
        <v>82.8</v>
      </c>
      <c r="J14" s="149"/>
      <c r="K14" s="391">
        <v>341</v>
      </c>
      <c r="L14" s="149"/>
      <c r="M14" s="2"/>
      <c r="N14" s="391">
        <v>4</v>
      </c>
      <c r="O14" s="419"/>
      <c r="P14" s="391">
        <v>3588</v>
      </c>
      <c r="Q14" s="419"/>
      <c r="R14" s="391">
        <v>4285</v>
      </c>
      <c r="S14" s="149"/>
      <c r="T14" s="421">
        <v>83.7</v>
      </c>
      <c r="U14" s="149"/>
      <c r="V14" s="391">
        <v>506</v>
      </c>
      <c r="W14" s="149"/>
      <c r="X14" s="67"/>
      <c r="Y14" s="397"/>
      <c r="Z14" s="67"/>
    </row>
    <row r="15" spans="1:26" ht="11.25" customHeight="1">
      <c r="A15" s="228" t="s">
        <v>14</v>
      </c>
      <c r="C15" s="391">
        <v>2</v>
      </c>
      <c r="D15" s="419"/>
      <c r="E15" s="391">
        <v>2673</v>
      </c>
      <c r="F15" s="419"/>
      <c r="G15" s="391">
        <v>3172</v>
      </c>
      <c r="H15" s="420"/>
      <c r="I15" s="421">
        <v>84.3</v>
      </c>
      <c r="J15" s="149"/>
      <c r="K15" s="391">
        <v>179</v>
      </c>
      <c r="L15" s="149"/>
      <c r="M15" s="2"/>
      <c r="N15" s="391">
        <v>2</v>
      </c>
      <c r="O15" s="419"/>
      <c r="P15" s="391">
        <v>2778</v>
      </c>
      <c r="Q15" s="419"/>
      <c r="R15" s="391">
        <v>3172</v>
      </c>
      <c r="S15" s="420"/>
      <c r="T15" s="421">
        <v>87.6</v>
      </c>
      <c r="U15" s="149"/>
      <c r="V15" s="391">
        <v>310</v>
      </c>
      <c r="W15" s="149"/>
      <c r="X15" s="67"/>
      <c r="Y15" s="397"/>
      <c r="Z15" s="67"/>
    </row>
    <row r="16" spans="1:26" ht="11.25" customHeight="1">
      <c r="A16" s="228" t="s">
        <v>15</v>
      </c>
      <c r="C16" s="391">
        <v>5</v>
      </c>
      <c r="D16" s="419"/>
      <c r="E16" s="391">
        <v>9342</v>
      </c>
      <c r="F16" s="419"/>
      <c r="G16" s="391">
        <v>11292</v>
      </c>
      <c r="H16" s="149"/>
      <c r="I16" s="421">
        <v>82.7</v>
      </c>
      <c r="J16" s="149"/>
      <c r="K16" s="391">
        <v>882</v>
      </c>
      <c r="L16" s="149"/>
      <c r="M16" s="2"/>
      <c r="N16" s="391">
        <v>5</v>
      </c>
      <c r="O16" s="419"/>
      <c r="P16" s="391">
        <v>9860</v>
      </c>
      <c r="Q16" s="419"/>
      <c r="R16" s="391">
        <v>11227</v>
      </c>
      <c r="S16" s="149"/>
      <c r="T16" s="421">
        <v>87.8</v>
      </c>
      <c r="U16" s="149"/>
      <c r="V16" s="391">
        <v>1263</v>
      </c>
      <c r="W16" s="149"/>
      <c r="X16" s="67"/>
      <c r="Y16" s="398"/>
      <c r="Z16" s="67"/>
    </row>
    <row r="17" spans="1:26" ht="11.25" customHeight="1">
      <c r="A17" s="228" t="s">
        <v>16</v>
      </c>
      <c r="C17" s="391">
        <v>8</v>
      </c>
      <c r="D17" s="419"/>
      <c r="E17" s="391">
        <v>6687</v>
      </c>
      <c r="F17" s="149"/>
      <c r="G17" s="391">
        <v>10533</v>
      </c>
      <c r="H17" s="149"/>
      <c r="I17" s="421">
        <v>63.5</v>
      </c>
      <c r="J17" s="149"/>
      <c r="K17" s="391">
        <v>292</v>
      </c>
      <c r="L17" s="149"/>
      <c r="M17" s="2"/>
      <c r="N17" s="391">
        <v>8</v>
      </c>
      <c r="O17" s="419"/>
      <c r="P17" s="391">
        <v>6371</v>
      </c>
      <c r="Q17" s="149"/>
      <c r="R17" s="391">
        <v>10540</v>
      </c>
      <c r="S17" s="149"/>
      <c r="T17" s="421">
        <v>60.4</v>
      </c>
      <c r="U17" s="149"/>
      <c r="V17" s="391">
        <v>343</v>
      </c>
      <c r="W17" s="149"/>
      <c r="X17" s="67"/>
      <c r="Y17" s="397"/>
      <c r="Z17" s="67"/>
    </row>
    <row r="18" spans="1:26" ht="11.25" customHeight="1">
      <c r="A18" s="228" t="s">
        <v>17</v>
      </c>
      <c r="C18" s="391">
        <v>6</v>
      </c>
      <c r="D18" s="419"/>
      <c r="E18" s="391">
        <v>6164</v>
      </c>
      <c r="F18" s="149"/>
      <c r="G18" s="391">
        <v>7931</v>
      </c>
      <c r="H18" s="149"/>
      <c r="I18" s="421">
        <v>77.7</v>
      </c>
      <c r="J18" s="149"/>
      <c r="K18" s="391">
        <v>235</v>
      </c>
      <c r="L18" s="149"/>
      <c r="M18" s="2"/>
      <c r="N18" s="391">
        <v>6</v>
      </c>
      <c r="O18" s="419"/>
      <c r="P18" s="391">
        <v>6000</v>
      </c>
      <c r="Q18" s="149" t="s">
        <v>405</v>
      </c>
      <c r="R18" s="391">
        <v>7930</v>
      </c>
      <c r="S18" s="149" t="s">
        <v>405</v>
      </c>
      <c r="T18" s="421">
        <v>75.599999999999994</v>
      </c>
      <c r="U18" s="149" t="s">
        <v>405</v>
      </c>
      <c r="V18" s="391">
        <v>305</v>
      </c>
      <c r="W18" s="149" t="s">
        <v>405</v>
      </c>
      <c r="X18" s="67"/>
      <c r="Y18" s="397"/>
      <c r="Z18" s="67"/>
    </row>
    <row r="19" spans="1:26" ht="11.25" customHeight="1">
      <c r="A19" s="228" t="s">
        <v>18</v>
      </c>
      <c r="C19" s="391">
        <v>3</v>
      </c>
      <c r="D19" s="419"/>
      <c r="E19" s="391">
        <v>3164</v>
      </c>
      <c r="F19" s="149"/>
      <c r="G19" s="391">
        <v>6097</v>
      </c>
      <c r="H19" s="149"/>
      <c r="I19" s="421">
        <v>51.9</v>
      </c>
      <c r="J19" s="149"/>
      <c r="K19" s="391">
        <v>194</v>
      </c>
      <c r="L19" s="149"/>
      <c r="M19" s="2"/>
      <c r="N19" s="391">
        <v>3</v>
      </c>
      <c r="O19" s="419"/>
      <c r="P19" s="391">
        <v>2931</v>
      </c>
      <c r="Q19" s="149"/>
      <c r="R19" s="391">
        <v>5666</v>
      </c>
      <c r="S19" s="149"/>
      <c r="T19" s="421">
        <v>51.7</v>
      </c>
      <c r="U19" s="149"/>
      <c r="V19" s="391">
        <v>318</v>
      </c>
      <c r="W19" s="149"/>
      <c r="X19" s="67"/>
      <c r="Y19" s="397"/>
      <c r="Z19" s="67"/>
    </row>
    <row r="20" spans="1:26" ht="11.25" customHeight="1">
      <c r="A20" s="228" t="s">
        <v>37</v>
      </c>
      <c r="C20" s="391">
        <v>8</v>
      </c>
      <c r="D20" s="419"/>
      <c r="E20" s="391">
        <v>7329</v>
      </c>
      <c r="F20" s="149"/>
      <c r="G20" s="391">
        <v>10351</v>
      </c>
      <c r="H20" s="149"/>
      <c r="I20" s="421">
        <v>70.8</v>
      </c>
      <c r="J20" s="149"/>
      <c r="K20" s="391">
        <v>352</v>
      </c>
      <c r="L20" s="149"/>
      <c r="M20" s="2"/>
      <c r="N20" s="391">
        <v>8</v>
      </c>
      <c r="O20" s="419"/>
      <c r="P20" s="391">
        <v>7893</v>
      </c>
      <c r="Q20" s="149"/>
      <c r="R20" s="391">
        <v>10124</v>
      </c>
      <c r="S20" s="149"/>
      <c r="T20" s="421">
        <v>78</v>
      </c>
      <c r="U20" s="149"/>
      <c r="V20" s="391">
        <v>483</v>
      </c>
      <c r="W20" s="149"/>
      <c r="X20" s="67"/>
      <c r="Y20" s="397"/>
      <c r="Z20" s="67"/>
    </row>
    <row r="21" spans="1:26" ht="11.25" customHeight="1">
      <c r="A21" s="228" t="s">
        <v>19</v>
      </c>
      <c r="C21" s="391">
        <v>4</v>
      </c>
      <c r="D21" s="419"/>
      <c r="E21" s="391">
        <v>2264</v>
      </c>
      <c r="F21" s="149"/>
      <c r="G21" s="391">
        <v>3615</v>
      </c>
      <c r="H21" s="149"/>
      <c r="I21" s="421">
        <v>62.6</v>
      </c>
      <c r="J21" s="149"/>
      <c r="K21" s="391">
        <v>205</v>
      </c>
      <c r="L21" s="149"/>
      <c r="M21" s="2"/>
      <c r="N21" s="391">
        <v>4</v>
      </c>
      <c r="O21" s="419"/>
      <c r="P21" s="391">
        <v>2234</v>
      </c>
      <c r="Q21" s="149"/>
      <c r="R21" s="391">
        <v>3615</v>
      </c>
      <c r="S21" s="149"/>
      <c r="T21" s="421">
        <v>61.8</v>
      </c>
      <c r="U21" s="149"/>
      <c r="V21" s="391">
        <v>185</v>
      </c>
      <c r="W21" s="149"/>
      <c r="X21" s="67"/>
      <c r="Y21" s="397"/>
      <c r="Z21" s="67"/>
    </row>
    <row r="22" spans="1:26" ht="11.25" customHeight="1">
      <c r="A22" s="392" t="s">
        <v>497</v>
      </c>
      <c r="C22" s="391">
        <v>6</v>
      </c>
      <c r="D22" s="419"/>
      <c r="E22" s="391">
        <v>6220</v>
      </c>
      <c r="F22" s="149"/>
      <c r="G22" s="391">
        <v>8140</v>
      </c>
      <c r="H22" s="149"/>
      <c r="I22" s="421">
        <v>76.400000000000006</v>
      </c>
      <c r="J22" s="149"/>
      <c r="K22" s="391">
        <v>383</v>
      </c>
      <c r="L22" s="149"/>
      <c r="M22" s="2"/>
      <c r="N22" s="391">
        <v>6</v>
      </c>
      <c r="O22" s="419"/>
      <c r="P22" s="391">
        <v>6150</v>
      </c>
      <c r="Q22" s="149"/>
      <c r="R22" s="391">
        <v>8140</v>
      </c>
      <c r="S22" s="149"/>
      <c r="T22" s="421">
        <v>75.599999999999994</v>
      </c>
      <c r="U22" s="149"/>
      <c r="V22" s="391">
        <v>431</v>
      </c>
      <c r="W22" s="149"/>
      <c r="X22" s="67"/>
      <c r="Y22" s="397"/>
      <c r="Z22" s="67"/>
    </row>
    <row r="23" spans="1:26" ht="11.25" customHeight="1">
      <c r="A23" s="644" t="s">
        <v>749</v>
      </c>
      <c r="C23" s="391">
        <v>6</v>
      </c>
      <c r="D23" s="419"/>
      <c r="E23" s="391">
        <v>6070</v>
      </c>
      <c r="F23" s="149"/>
      <c r="G23" s="391">
        <v>8000</v>
      </c>
      <c r="H23" s="149"/>
      <c r="I23" s="421">
        <v>75.8</v>
      </c>
      <c r="J23" s="149"/>
      <c r="K23" s="391">
        <v>262</v>
      </c>
      <c r="L23" s="149"/>
      <c r="M23" s="2"/>
      <c r="N23" s="391">
        <v>6</v>
      </c>
      <c r="O23" s="419"/>
      <c r="P23" s="391">
        <v>5590</v>
      </c>
      <c r="Q23" s="149"/>
      <c r="R23" s="391">
        <v>7620</v>
      </c>
      <c r="S23" s="149"/>
      <c r="T23" s="421">
        <v>73.400000000000006</v>
      </c>
      <c r="U23" s="149"/>
      <c r="V23" s="391">
        <v>311</v>
      </c>
      <c r="W23" s="149"/>
      <c r="X23" s="67"/>
      <c r="Y23" s="397"/>
      <c r="Z23" s="67"/>
    </row>
    <row r="24" spans="1:26" ht="11.25" customHeight="1">
      <c r="A24" s="228" t="s">
        <v>22</v>
      </c>
      <c r="C24" s="391">
        <v>4</v>
      </c>
      <c r="D24" s="419"/>
      <c r="E24" s="391">
        <v>3091</v>
      </c>
      <c r="F24" s="419"/>
      <c r="G24" s="391">
        <v>3715</v>
      </c>
      <c r="H24" s="420"/>
      <c r="I24" s="421">
        <v>83.2</v>
      </c>
      <c r="J24" s="149"/>
      <c r="K24" s="391">
        <v>135</v>
      </c>
      <c r="L24" s="149"/>
      <c r="M24" s="2"/>
      <c r="N24" s="391">
        <v>4</v>
      </c>
      <c r="O24" s="419"/>
      <c r="P24" s="391">
        <v>3037</v>
      </c>
      <c r="Q24" s="419"/>
      <c r="R24" s="391">
        <v>3375</v>
      </c>
      <c r="S24" s="420"/>
      <c r="T24" s="421">
        <v>90</v>
      </c>
      <c r="U24" s="149"/>
      <c r="V24" s="391">
        <v>114</v>
      </c>
      <c r="W24" s="149"/>
      <c r="X24" s="67"/>
      <c r="Y24" s="397"/>
      <c r="Z24" s="67"/>
    </row>
    <row r="25" spans="1:26" ht="11.25" customHeight="1">
      <c r="A25" s="228" t="s">
        <v>23</v>
      </c>
      <c r="C25" s="391">
        <v>4</v>
      </c>
      <c r="D25" s="419"/>
      <c r="E25" s="391">
        <v>2903</v>
      </c>
      <c r="F25" s="419"/>
      <c r="G25" s="391">
        <v>4688</v>
      </c>
      <c r="H25" s="420"/>
      <c r="I25" s="421">
        <v>61.9</v>
      </c>
      <c r="J25" s="149"/>
      <c r="K25" s="391">
        <v>208</v>
      </c>
      <c r="L25" s="149"/>
      <c r="M25" s="2"/>
      <c r="N25" s="391">
        <v>4</v>
      </c>
      <c r="O25" s="419"/>
      <c r="P25" s="391">
        <v>2811</v>
      </c>
      <c r="Q25" s="419"/>
      <c r="R25" s="391">
        <v>4275</v>
      </c>
      <c r="S25" s="420"/>
      <c r="T25" s="421">
        <v>65.7</v>
      </c>
      <c r="U25" s="149"/>
      <c r="V25" s="391">
        <v>136</v>
      </c>
      <c r="W25" s="149"/>
      <c r="X25" s="67"/>
      <c r="Y25" s="397"/>
      <c r="Z25" s="67"/>
    </row>
    <row r="26" spans="1:26" ht="11.25" customHeight="1">
      <c r="A26" s="228" t="s">
        <v>139</v>
      </c>
      <c r="C26" s="391">
        <v>5</v>
      </c>
      <c r="D26" s="419"/>
      <c r="E26" s="391">
        <v>2680</v>
      </c>
      <c r="F26" s="149" t="s">
        <v>405</v>
      </c>
      <c r="G26" s="391">
        <v>3320</v>
      </c>
      <c r="H26" s="149" t="s">
        <v>405</v>
      </c>
      <c r="I26" s="421">
        <v>80.7</v>
      </c>
      <c r="J26" s="149" t="s">
        <v>405</v>
      </c>
      <c r="K26" s="391">
        <v>229</v>
      </c>
      <c r="L26" s="149" t="s">
        <v>405</v>
      </c>
      <c r="M26" s="2"/>
      <c r="N26" s="391">
        <v>5</v>
      </c>
      <c r="O26" s="419"/>
      <c r="P26" s="391">
        <v>2450</v>
      </c>
      <c r="Q26" s="149"/>
      <c r="R26" s="391">
        <v>3201</v>
      </c>
      <c r="S26" s="149"/>
      <c r="T26" s="421">
        <v>76.400000000000006</v>
      </c>
      <c r="U26" s="149"/>
      <c r="V26" s="391">
        <v>200</v>
      </c>
      <c r="W26" s="149"/>
      <c r="X26" s="67"/>
      <c r="Y26" s="397"/>
      <c r="Z26" s="67"/>
    </row>
    <row r="27" spans="1:26" ht="11.25" customHeight="1">
      <c r="A27" s="228" t="s">
        <v>24</v>
      </c>
      <c r="C27" s="422" t="s">
        <v>25</v>
      </c>
      <c r="D27" s="423"/>
      <c r="E27" s="422" t="s">
        <v>25</v>
      </c>
      <c r="F27" s="423"/>
      <c r="G27" s="422" t="s">
        <v>25</v>
      </c>
      <c r="H27" s="420"/>
      <c r="I27" s="422" t="s">
        <v>25</v>
      </c>
      <c r="J27" s="149"/>
      <c r="K27" s="391">
        <v>54</v>
      </c>
      <c r="L27" s="149"/>
      <c r="M27" s="2"/>
      <c r="N27" s="422" t="s">
        <v>25</v>
      </c>
      <c r="O27" s="423"/>
      <c r="P27" s="422" t="s">
        <v>25</v>
      </c>
      <c r="Q27" s="423"/>
      <c r="R27" s="422" t="s">
        <v>25</v>
      </c>
      <c r="S27" s="420"/>
      <c r="T27" s="422" t="s">
        <v>25</v>
      </c>
      <c r="U27" s="149"/>
      <c r="V27" s="391">
        <v>54</v>
      </c>
      <c r="W27" s="149" t="s">
        <v>405</v>
      </c>
      <c r="X27" s="67"/>
      <c r="Y27" s="397"/>
      <c r="Z27" s="67"/>
    </row>
    <row r="28" spans="1:26" ht="11.25" customHeight="1">
      <c r="A28" s="644" t="s">
        <v>750</v>
      </c>
      <c r="C28" s="391">
        <v>8</v>
      </c>
      <c r="D28" s="419"/>
      <c r="E28" s="391">
        <v>9720</v>
      </c>
      <c r="F28" s="149"/>
      <c r="G28" s="391">
        <v>12360</v>
      </c>
      <c r="H28" s="149"/>
      <c r="I28" s="421">
        <v>78.599999999999994</v>
      </c>
      <c r="J28" s="149"/>
      <c r="K28" s="391">
        <v>433</v>
      </c>
      <c r="L28" s="149"/>
      <c r="M28" s="2"/>
      <c r="N28" s="391">
        <v>7</v>
      </c>
      <c r="O28" s="419"/>
      <c r="P28" s="391">
        <v>8940</v>
      </c>
      <c r="Q28" s="149"/>
      <c r="R28" s="391">
        <v>11300</v>
      </c>
      <c r="S28" s="149"/>
      <c r="T28" s="421">
        <v>79.099999999999994</v>
      </c>
      <c r="U28" s="149"/>
      <c r="V28" s="391">
        <v>365</v>
      </c>
      <c r="W28" s="149"/>
      <c r="X28" s="67"/>
      <c r="Y28" s="397"/>
      <c r="Z28" s="67"/>
    </row>
    <row r="29" spans="1:26" ht="11.25" customHeight="1">
      <c r="A29" s="228" t="s">
        <v>27</v>
      </c>
      <c r="C29" s="391">
        <v>4</v>
      </c>
      <c r="D29" s="419"/>
      <c r="E29" s="391">
        <v>1770</v>
      </c>
      <c r="F29" s="419"/>
      <c r="G29" s="391">
        <v>2563</v>
      </c>
      <c r="H29" s="149"/>
      <c r="I29" s="421">
        <v>69</v>
      </c>
      <c r="J29" s="149"/>
      <c r="K29" s="391">
        <v>195</v>
      </c>
      <c r="L29" s="149"/>
      <c r="M29" s="2"/>
      <c r="N29" s="391">
        <v>4</v>
      </c>
      <c r="O29" s="419"/>
      <c r="P29" s="391">
        <v>1458</v>
      </c>
      <c r="Q29" s="419"/>
      <c r="R29" s="391">
        <v>2563</v>
      </c>
      <c r="S29" s="149"/>
      <c r="T29" s="421">
        <v>56.9</v>
      </c>
      <c r="U29" s="149"/>
      <c r="V29" s="391">
        <v>196</v>
      </c>
      <c r="W29" s="149"/>
      <c r="X29" s="67"/>
      <c r="Y29" s="397"/>
      <c r="Z29" s="67"/>
    </row>
    <row r="30" spans="1:26" ht="11.25" customHeight="1">
      <c r="A30" s="645" t="s">
        <v>702</v>
      </c>
      <c r="C30" s="422" t="s">
        <v>25</v>
      </c>
      <c r="D30" s="423"/>
      <c r="E30" s="422" t="s">
        <v>25</v>
      </c>
      <c r="F30" s="149"/>
      <c r="G30" s="422" t="s">
        <v>25</v>
      </c>
      <c r="H30" s="420"/>
      <c r="I30" s="422" t="s">
        <v>25</v>
      </c>
      <c r="J30" s="149"/>
      <c r="K30" s="391">
        <v>349</v>
      </c>
      <c r="L30" s="416"/>
      <c r="M30" s="2"/>
      <c r="N30" s="422" t="s">
        <v>25</v>
      </c>
      <c r="O30" s="423"/>
      <c r="P30" s="422" t="s">
        <v>25</v>
      </c>
      <c r="Q30" s="149"/>
      <c r="R30" s="422" t="s">
        <v>25</v>
      </c>
      <c r="S30" s="420"/>
      <c r="T30" s="422" t="s">
        <v>25</v>
      </c>
      <c r="U30" s="149"/>
      <c r="V30" s="391">
        <v>380</v>
      </c>
      <c r="W30" s="416"/>
      <c r="X30" s="67"/>
      <c r="Y30" s="397"/>
      <c r="Z30" s="67"/>
    </row>
    <row r="31" spans="1:26" ht="11.25" customHeight="1">
      <c r="A31" s="646" t="s">
        <v>498</v>
      </c>
      <c r="C31" s="424">
        <v>100</v>
      </c>
      <c r="D31" s="425"/>
      <c r="E31" s="424">
        <v>88700</v>
      </c>
      <c r="F31" s="426" t="s">
        <v>405</v>
      </c>
      <c r="G31" s="424">
        <v>122000</v>
      </c>
      <c r="H31" s="426" t="s">
        <v>405</v>
      </c>
      <c r="I31" s="427">
        <v>72.5</v>
      </c>
      <c r="J31" s="426" t="s">
        <v>405</v>
      </c>
      <c r="K31" s="424">
        <v>7700</v>
      </c>
      <c r="L31" s="149" t="s">
        <v>818</v>
      </c>
      <c r="M31" s="401"/>
      <c r="N31" s="424">
        <v>99</v>
      </c>
      <c r="O31" s="425"/>
      <c r="P31" s="424">
        <v>87400</v>
      </c>
      <c r="Q31" s="426" t="s">
        <v>405</v>
      </c>
      <c r="R31" s="424">
        <v>120000</v>
      </c>
      <c r="S31" s="426" t="s">
        <v>405</v>
      </c>
      <c r="T31" s="427">
        <v>72.8</v>
      </c>
      <c r="U31" s="426" t="s">
        <v>405</v>
      </c>
      <c r="V31" s="424">
        <v>8430</v>
      </c>
      <c r="W31" s="426" t="s">
        <v>405</v>
      </c>
      <c r="X31" s="67"/>
      <c r="Y31" s="397"/>
      <c r="Z31" s="67"/>
    </row>
    <row r="32" spans="1:26" ht="11.25" customHeight="1">
      <c r="A32" s="229" t="s">
        <v>28</v>
      </c>
      <c r="C32" s="428">
        <v>2</v>
      </c>
      <c r="D32" s="429"/>
      <c r="E32" s="428">
        <v>400</v>
      </c>
      <c r="F32" s="149"/>
      <c r="G32" s="428">
        <v>1780</v>
      </c>
      <c r="H32" s="149"/>
      <c r="I32" s="421">
        <v>22.5</v>
      </c>
      <c r="J32" s="149"/>
      <c r="K32" s="428">
        <v>29</v>
      </c>
      <c r="L32" s="149"/>
      <c r="M32" s="402"/>
      <c r="N32" s="428">
        <v>2</v>
      </c>
      <c r="O32" s="429"/>
      <c r="P32" s="428">
        <v>388</v>
      </c>
      <c r="Q32" s="149"/>
      <c r="R32" s="428">
        <v>1780</v>
      </c>
      <c r="S32" s="149"/>
      <c r="T32" s="421">
        <v>21.8</v>
      </c>
      <c r="U32" s="149"/>
      <c r="V32" s="428">
        <v>33</v>
      </c>
      <c r="W32" s="149"/>
      <c r="X32" s="67"/>
      <c r="Y32" s="260"/>
      <c r="Z32" s="67"/>
    </row>
    <row r="33" spans="1:26" ht="11.25" customHeight="1">
      <c r="A33" s="561" t="s">
        <v>499</v>
      </c>
      <c r="B33" s="49"/>
      <c r="C33" s="430">
        <v>102</v>
      </c>
      <c r="D33" s="431"/>
      <c r="E33" s="430">
        <v>89100</v>
      </c>
      <c r="F33" s="299" t="s">
        <v>405</v>
      </c>
      <c r="G33" s="430">
        <v>124000</v>
      </c>
      <c r="H33" s="299" t="s">
        <v>405</v>
      </c>
      <c r="I33" s="432">
        <v>71.8</v>
      </c>
      <c r="J33" s="299" t="s">
        <v>405</v>
      </c>
      <c r="K33" s="430">
        <v>7730</v>
      </c>
      <c r="L33" s="299" t="s">
        <v>818</v>
      </c>
      <c r="M33" s="403"/>
      <c r="N33" s="430">
        <v>101</v>
      </c>
      <c r="O33" s="431"/>
      <c r="P33" s="430">
        <v>87800</v>
      </c>
      <c r="Q33" s="299" t="s">
        <v>405</v>
      </c>
      <c r="R33" s="430">
        <v>122000</v>
      </c>
      <c r="S33" s="299" t="s">
        <v>405</v>
      </c>
      <c r="T33" s="432">
        <v>72.099999999999994</v>
      </c>
      <c r="U33" s="299" t="s">
        <v>405</v>
      </c>
      <c r="V33" s="430">
        <v>8460</v>
      </c>
      <c r="W33" s="299" t="s">
        <v>405</v>
      </c>
      <c r="X33" s="67"/>
      <c r="Y33" s="260"/>
      <c r="Z33" s="67"/>
    </row>
    <row r="34" spans="1:26" ht="11.25" customHeight="1">
      <c r="A34" s="701" t="s">
        <v>819</v>
      </c>
      <c r="B34" s="702"/>
      <c r="C34" s="702"/>
      <c r="D34" s="702"/>
      <c r="E34" s="702"/>
      <c r="F34" s="702"/>
      <c r="G34" s="702"/>
      <c r="H34" s="702"/>
      <c r="I34" s="702"/>
      <c r="J34" s="702"/>
      <c r="K34" s="702"/>
      <c r="L34" s="702"/>
      <c r="M34" s="702"/>
      <c r="N34" s="702"/>
      <c r="O34" s="702"/>
      <c r="P34" s="702"/>
      <c r="Q34" s="702"/>
      <c r="R34" s="702"/>
      <c r="S34" s="702"/>
      <c r="T34" s="702"/>
      <c r="U34" s="702"/>
      <c r="V34" s="702"/>
      <c r="W34" s="702"/>
      <c r="X34" s="67"/>
    </row>
    <row r="35" spans="1:26" s="132" customFormat="1" ht="22.5" customHeight="1">
      <c r="A35" s="696" t="s">
        <v>817</v>
      </c>
      <c r="B35" s="700"/>
      <c r="C35" s="700"/>
      <c r="D35" s="700"/>
      <c r="E35" s="700"/>
      <c r="F35" s="700"/>
      <c r="G35" s="700"/>
      <c r="H35" s="700"/>
      <c r="I35" s="700"/>
      <c r="J35" s="700"/>
      <c r="K35" s="700"/>
      <c r="L35" s="700"/>
      <c r="M35" s="700"/>
      <c r="N35" s="700"/>
      <c r="O35" s="700"/>
      <c r="P35" s="700"/>
      <c r="Q35" s="700"/>
      <c r="R35" s="700"/>
      <c r="S35" s="700"/>
      <c r="T35" s="700"/>
      <c r="U35" s="700"/>
      <c r="V35" s="700"/>
      <c r="W35" s="700"/>
    </row>
    <row r="36" spans="1:26" ht="11.25" customHeight="1">
      <c r="A36" s="694" t="s">
        <v>439</v>
      </c>
      <c r="B36" s="699"/>
      <c r="C36" s="699"/>
      <c r="D36" s="699"/>
      <c r="E36" s="699"/>
      <c r="F36" s="699"/>
      <c r="G36" s="699"/>
      <c r="H36" s="699"/>
      <c r="I36" s="699"/>
      <c r="J36" s="699"/>
      <c r="K36" s="699"/>
      <c r="L36" s="699"/>
      <c r="M36" s="699"/>
      <c r="N36" s="699"/>
      <c r="O36" s="699"/>
      <c r="P36" s="699"/>
      <c r="Q36" s="699"/>
      <c r="R36" s="699"/>
      <c r="S36" s="699"/>
      <c r="T36" s="699"/>
      <c r="U36" s="699"/>
      <c r="V36" s="699"/>
      <c r="W36" s="699"/>
      <c r="X36" s="67"/>
    </row>
    <row r="37" spans="1:26" ht="22.5" customHeight="1">
      <c r="A37" s="696" t="s">
        <v>440</v>
      </c>
      <c r="B37" s="700"/>
      <c r="C37" s="700"/>
      <c r="D37" s="700"/>
      <c r="E37" s="700"/>
      <c r="F37" s="700"/>
      <c r="G37" s="700"/>
      <c r="H37" s="700"/>
      <c r="I37" s="700"/>
      <c r="J37" s="700"/>
      <c r="K37" s="700"/>
      <c r="L37" s="700"/>
      <c r="M37" s="700"/>
      <c r="N37" s="700"/>
      <c r="O37" s="700"/>
      <c r="P37" s="700"/>
      <c r="Q37" s="700"/>
      <c r="R37" s="700"/>
      <c r="S37" s="700"/>
      <c r="T37" s="700"/>
      <c r="U37" s="700"/>
      <c r="V37" s="700"/>
      <c r="W37" s="700"/>
      <c r="X37" s="67"/>
    </row>
    <row r="38" spans="1:26" ht="11.25" customHeight="1">
      <c r="A38" s="694" t="s">
        <v>441</v>
      </c>
      <c r="B38" s="699"/>
      <c r="C38" s="699"/>
      <c r="D38" s="699"/>
      <c r="E38" s="699"/>
      <c r="F38" s="699"/>
      <c r="G38" s="699"/>
      <c r="H38" s="699"/>
      <c r="I38" s="699"/>
      <c r="J38" s="699"/>
      <c r="K38" s="699"/>
      <c r="L38" s="699"/>
      <c r="M38" s="699"/>
      <c r="N38" s="699"/>
      <c r="O38" s="699"/>
      <c r="P38" s="699"/>
      <c r="Q38" s="699"/>
      <c r="R38" s="699"/>
      <c r="S38" s="699"/>
      <c r="T38" s="699"/>
      <c r="U38" s="699"/>
      <c r="V38" s="699"/>
      <c r="W38" s="699"/>
      <c r="X38" s="67"/>
    </row>
    <row r="39" spans="1:26" ht="11.25" customHeight="1">
      <c r="A39" s="694" t="s">
        <v>442</v>
      </c>
      <c r="B39" s="699"/>
      <c r="C39" s="699"/>
      <c r="D39" s="699"/>
      <c r="E39" s="699"/>
      <c r="F39" s="699"/>
      <c r="G39" s="699"/>
      <c r="H39" s="699"/>
      <c r="I39" s="699"/>
      <c r="J39" s="699"/>
      <c r="K39" s="699"/>
      <c r="L39" s="699"/>
      <c r="M39" s="699"/>
      <c r="N39" s="699"/>
      <c r="O39" s="699"/>
      <c r="P39" s="699"/>
      <c r="Q39" s="699"/>
      <c r="R39" s="699"/>
      <c r="S39" s="699"/>
      <c r="T39" s="699"/>
      <c r="U39" s="699"/>
      <c r="V39" s="699"/>
      <c r="W39" s="699"/>
      <c r="X39" s="67"/>
    </row>
    <row r="40" spans="1:26" ht="11.25" customHeight="1">
      <c r="A40" s="694" t="s">
        <v>463</v>
      </c>
      <c r="B40" s="699"/>
      <c r="C40" s="699"/>
      <c r="D40" s="699"/>
      <c r="E40" s="699"/>
      <c r="F40" s="699"/>
      <c r="G40" s="699"/>
      <c r="H40" s="699"/>
      <c r="I40" s="699"/>
      <c r="J40" s="699"/>
      <c r="K40" s="699"/>
      <c r="L40" s="699"/>
      <c r="M40" s="699"/>
      <c r="N40" s="699"/>
      <c r="O40" s="699"/>
      <c r="P40" s="699"/>
      <c r="Q40" s="699"/>
      <c r="R40" s="699"/>
      <c r="S40" s="699"/>
      <c r="T40" s="699"/>
      <c r="U40" s="699"/>
      <c r="V40" s="699"/>
      <c r="W40" s="699"/>
      <c r="X40" s="67"/>
    </row>
    <row r="41" spans="1:26" ht="11.25" customHeight="1">
      <c r="A41" s="694" t="s">
        <v>443</v>
      </c>
      <c r="B41" s="699"/>
      <c r="C41" s="699"/>
      <c r="D41" s="699"/>
      <c r="E41" s="699"/>
      <c r="F41" s="699"/>
      <c r="G41" s="699"/>
      <c r="H41" s="699"/>
      <c r="I41" s="699"/>
      <c r="J41" s="699"/>
      <c r="K41" s="699"/>
      <c r="L41" s="699"/>
      <c r="M41" s="699"/>
      <c r="N41" s="699"/>
      <c r="O41" s="699"/>
      <c r="P41" s="699"/>
      <c r="Q41" s="699"/>
      <c r="R41" s="699"/>
      <c r="S41" s="699"/>
      <c r="T41" s="699"/>
      <c r="U41" s="699"/>
      <c r="V41" s="699"/>
      <c r="W41" s="699"/>
      <c r="X41" s="67"/>
    </row>
    <row r="42" spans="1:26" ht="11.25" customHeight="1">
      <c r="A42" s="694" t="s">
        <v>700</v>
      </c>
      <c r="B42" s="699"/>
      <c r="C42" s="699"/>
      <c r="D42" s="699"/>
      <c r="E42" s="699"/>
      <c r="F42" s="699"/>
      <c r="G42" s="699"/>
      <c r="H42" s="699"/>
      <c r="I42" s="699"/>
      <c r="J42" s="699"/>
      <c r="K42" s="699"/>
      <c r="L42" s="699"/>
      <c r="M42" s="699"/>
      <c r="N42" s="699"/>
      <c r="O42" s="699"/>
      <c r="P42" s="699"/>
      <c r="Q42" s="699"/>
      <c r="R42" s="699"/>
      <c r="S42" s="699"/>
      <c r="T42" s="699"/>
      <c r="U42" s="699"/>
      <c r="V42" s="699"/>
      <c r="W42" s="699"/>
      <c r="X42" s="67"/>
    </row>
    <row r="43" spans="1:26" ht="11.25" customHeight="1">
      <c r="A43" s="694" t="s">
        <v>698</v>
      </c>
      <c r="B43" s="699"/>
      <c r="C43" s="699"/>
      <c r="D43" s="699"/>
      <c r="E43" s="699"/>
      <c r="F43" s="699"/>
      <c r="G43" s="699"/>
      <c r="H43" s="699"/>
      <c r="I43" s="699"/>
      <c r="J43" s="699"/>
      <c r="K43" s="699"/>
      <c r="L43" s="699"/>
      <c r="M43" s="699"/>
      <c r="N43" s="699"/>
      <c r="O43" s="699"/>
      <c r="P43" s="699"/>
      <c r="Q43" s="699"/>
      <c r="R43" s="699"/>
      <c r="S43" s="699"/>
      <c r="T43" s="699"/>
      <c r="U43" s="699"/>
      <c r="V43" s="699"/>
      <c r="W43" s="699"/>
      <c r="X43" s="67"/>
    </row>
    <row r="44" spans="1:26" ht="11.25" customHeight="1">
      <c r="A44" s="694" t="s">
        <v>699</v>
      </c>
      <c r="B44" s="699"/>
      <c r="C44" s="699"/>
      <c r="D44" s="699"/>
      <c r="E44" s="699"/>
      <c r="F44" s="699"/>
      <c r="G44" s="699"/>
      <c r="H44" s="699"/>
      <c r="I44" s="699"/>
      <c r="J44" s="699"/>
      <c r="K44" s="699"/>
      <c r="L44" s="699"/>
      <c r="M44" s="699"/>
      <c r="N44" s="699"/>
      <c r="O44" s="699"/>
      <c r="P44" s="699"/>
      <c r="Q44" s="699"/>
      <c r="R44" s="699"/>
      <c r="S44" s="699"/>
      <c r="T44" s="699"/>
      <c r="U44" s="699"/>
      <c r="V44" s="699"/>
      <c r="W44" s="699"/>
      <c r="X44" s="67"/>
    </row>
    <row r="45" spans="1:26">
      <c r="E45" s="67"/>
      <c r="G45" s="67"/>
      <c r="H45" s="67"/>
      <c r="I45" s="67"/>
      <c r="J45" s="67"/>
      <c r="K45" s="67"/>
      <c r="L45" s="67"/>
      <c r="M45" s="67"/>
      <c r="N45" s="67"/>
      <c r="O45" s="67"/>
      <c r="P45" s="67"/>
      <c r="Q45" s="67"/>
      <c r="R45" s="67"/>
      <c r="S45" s="67"/>
      <c r="T45" s="67"/>
      <c r="U45" s="67"/>
      <c r="V45" s="67"/>
      <c r="X45" s="67"/>
    </row>
    <row r="46" spans="1:26">
      <c r="C46" s="67"/>
      <c r="E46" s="67"/>
      <c r="F46" s="67"/>
      <c r="G46" s="67"/>
      <c r="H46" s="67"/>
      <c r="I46" s="67"/>
      <c r="J46" s="67"/>
      <c r="K46" s="67"/>
      <c r="L46" s="67"/>
      <c r="M46" s="67"/>
      <c r="N46" s="67"/>
      <c r="O46" s="67"/>
      <c r="P46" s="67"/>
      <c r="Q46" s="67"/>
      <c r="R46" s="67"/>
      <c r="S46" s="67"/>
      <c r="T46" s="67"/>
      <c r="U46" s="67"/>
      <c r="V46" s="67"/>
      <c r="X46" s="67"/>
    </row>
    <row r="47" spans="1:26">
      <c r="X47" s="67"/>
    </row>
    <row r="48" spans="1:26">
      <c r="X48" s="67"/>
    </row>
    <row r="49" spans="24:24">
      <c r="X49" s="67"/>
    </row>
    <row r="50" spans="24:24">
      <c r="X50" s="67"/>
    </row>
    <row r="51" spans="24:24">
      <c r="X51" s="67"/>
    </row>
    <row r="52" spans="24:24">
      <c r="X52" s="67"/>
    </row>
    <row r="53" spans="24:24">
      <c r="X53" s="67"/>
    </row>
    <row r="54" spans="24:24">
      <c r="X54" s="67"/>
    </row>
  </sheetData>
  <mergeCells count="18">
    <mergeCell ref="A1:W1"/>
    <mergeCell ref="A2:W2"/>
    <mergeCell ref="A4:W4"/>
    <mergeCell ref="N6:W6"/>
    <mergeCell ref="A3:W3"/>
    <mergeCell ref="A5:W5"/>
    <mergeCell ref="C6:L6"/>
    <mergeCell ref="A37:W37"/>
    <mergeCell ref="A38:W38"/>
    <mergeCell ref="A34:W34"/>
    <mergeCell ref="A36:W36"/>
    <mergeCell ref="A35:W35"/>
    <mergeCell ref="A40:W40"/>
    <mergeCell ref="A41:W41"/>
    <mergeCell ref="A43:W43"/>
    <mergeCell ref="A44:W44"/>
    <mergeCell ref="A39:W39"/>
    <mergeCell ref="A42:W42"/>
  </mergeCells>
  <pageMargins left="0.5" right="0.5" top="0.75" bottom="0.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9"/>
  <sheetViews>
    <sheetView zoomScaleNormal="100" workbookViewId="0">
      <selection activeCell="A33" sqref="A33:O33"/>
    </sheetView>
  </sheetViews>
  <sheetFormatPr defaultColWidth="9.1796875" defaultRowHeight="12.5"/>
  <cols>
    <col min="1" max="1" width="30.7265625" style="1" customWidth="1"/>
    <col min="2" max="2" width="1.7265625" style="1" customWidth="1"/>
    <col min="3" max="3" width="6.7265625" style="1" customWidth="1"/>
    <col min="4" max="4" width="1.7265625" style="1" customWidth="1"/>
    <col min="5" max="5" width="9.1796875" style="1"/>
    <col min="6" max="6" width="1.7265625" style="1" customWidth="1"/>
    <col min="7" max="7" width="6.81640625" style="1" customWidth="1"/>
    <col min="8" max="8" width="1.7265625" style="51" customWidth="1"/>
    <col min="9" max="9" width="1.7265625" style="1" customWidth="1"/>
    <col min="10" max="10" width="6.7265625" style="1" customWidth="1"/>
    <col min="11" max="11" width="1.7265625" style="1" customWidth="1"/>
    <col min="12" max="12" width="9.1796875" style="1"/>
    <col min="13" max="13" width="1.7265625" style="1" customWidth="1"/>
    <col min="14" max="14" width="6.81640625" style="1" customWidth="1"/>
    <col min="15" max="15" width="2.7265625" style="51" customWidth="1"/>
    <col min="16" max="16384" width="9.1796875" style="1"/>
  </cols>
  <sheetData>
    <row r="1" spans="1:18" ht="11.25" customHeight="1">
      <c r="A1" s="703" t="s">
        <v>29</v>
      </c>
      <c r="B1" s="703"/>
      <c r="C1" s="703"/>
      <c r="D1" s="703"/>
      <c r="E1" s="703"/>
      <c r="F1" s="703"/>
      <c r="G1" s="703"/>
      <c r="H1" s="703"/>
      <c r="I1" s="703"/>
      <c r="J1" s="703"/>
      <c r="K1" s="703"/>
      <c r="L1" s="703"/>
      <c r="M1" s="703"/>
      <c r="N1" s="703"/>
      <c r="O1" s="703"/>
    </row>
    <row r="2" spans="1:18" ht="11.25" customHeight="1">
      <c r="A2" s="703" t="s">
        <v>391</v>
      </c>
      <c r="B2" s="703"/>
      <c r="C2" s="703"/>
      <c r="D2" s="703"/>
      <c r="E2" s="703"/>
      <c r="F2" s="703"/>
      <c r="G2" s="703"/>
      <c r="H2" s="703"/>
      <c r="I2" s="703"/>
      <c r="J2" s="703"/>
      <c r="K2" s="703"/>
      <c r="L2" s="703"/>
      <c r="M2" s="703"/>
      <c r="N2" s="703"/>
      <c r="O2" s="703"/>
    </row>
    <row r="3" spans="1:18" ht="11.25" customHeight="1">
      <c r="A3" s="703"/>
      <c r="B3" s="691"/>
      <c r="C3" s="691"/>
      <c r="D3" s="691"/>
      <c r="E3" s="691"/>
      <c r="F3" s="691"/>
      <c r="G3" s="691"/>
      <c r="H3" s="691"/>
      <c r="I3" s="691"/>
      <c r="J3" s="691"/>
      <c r="K3" s="691"/>
      <c r="L3" s="691"/>
      <c r="M3" s="691"/>
      <c r="N3" s="691"/>
      <c r="O3" s="691"/>
    </row>
    <row r="4" spans="1:18" ht="11.25" customHeight="1">
      <c r="A4" s="703" t="s">
        <v>1</v>
      </c>
      <c r="B4" s="703"/>
      <c r="C4" s="703"/>
      <c r="D4" s="703"/>
      <c r="E4" s="703"/>
      <c r="F4" s="703"/>
      <c r="G4" s="703"/>
      <c r="H4" s="703"/>
      <c r="I4" s="703"/>
      <c r="J4" s="703"/>
      <c r="K4" s="703"/>
      <c r="L4" s="703"/>
      <c r="M4" s="703"/>
      <c r="N4" s="703"/>
      <c r="O4" s="703"/>
    </row>
    <row r="5" spans="1:18" ht="11.25" customHeight="1">
      <c r="A5" s="706"/>
      <c r="B5" s="707"/>
      <c r="C5" s="707"/>
      <c r="D5" s="707"/>
      <c r="E5" s="707"/>
      <c r="F5" s="707"/>
      <c r="G5" s="707"/>
      <c r="H5" s="707"/>
      <c r="I5" s="707"/>
      <c r="J5" s="707"/>
      <c r="K5" s="707"/>
      <c r="L5" s="707"/>
      <c r="M5" s="707"/>
      <c r="N5" s="707"/>
      <c r="O5" s="707"/>
    </row>
    <row r="6" spans="1:18" ht="11.25" customHeight="1">
      <c r="A6" s="210"/>
      <c r="B6" s="210"/>
      <c r="C6" s="710" t="s">
        <v>533</v>
      </c>
      <c r="D6" s="711"/>
      <c r="E6" s="711"/>
      <c r="F6" s="711"/>
      <c r="G6" s="711"/>
      <c r="H6" s="711"/>
      <c r="I6" s="210"/>
      <c r="J6" s="712" t="s">
        <v>724</v>
      </c>
      <c r="K6" s="711"/>
      <c r="L6" s="711"/>
      <c r="M6" s="711"/>
      <c r="N6" s="711"/>
      <c r="O6" s="711"/>
    </row>
    <row r="7" spans="1:18" ht="11.25" customHeight="1">
      <c r="A7" s="226"/>
      <c r="B7" s="226"/>
      <c r="C7" s="226" t="s">
        <v>30</v>
      </c>
      <c r="D7" s="226"/>
      <c r="E7" s="226"/>
      <c r="F7" s="226"/>
      <c r="G7" s="226"/>
      <c r="H7" s="236"/>
      <c r="I7" s="226"/>
      <c r="J7" s="226" t="s">
        <v>30</v>
      </c>
      <c r="K7" s="226"/>
      <c r="L7" s="226"/>
      <c r="M7" s="226"/>
      <c r="N7" s="226"/>
      <c r="O7" s="236"/>
    </row>
    <row r="8" spans="1:18" ht="11.25" customHeight="1">
      <c r="A8" s="226"/>
      <c r="B8" s="226"/>
      <c r="C8" s="226" t="s">
        <v>31</v>
      </c>
      <c r="D8" s="226"/>
      <c r="E8" s="226"/>
      <c r="F8" s="226"/>
      <c r="G8" s="226" t="s">
        <v>32</v>
      </c>
      <c r="H8" s="134"/>
      <c r="I8" s="226"/>
      <c r="J8" s="226" t="s">
        <v>31</v>
      </c>
      <c r="K8" s="226"/>
      <c r="L8" s="226"/>
      <c r="M8" s="226"/>
      <c r="N8" s="226" t="s">
        <v>32</v>
      </c>
      <c r="O8" s="134"/>
    </row>
    <row r="9" spans="1:18" ht="11.25" customHeight="1">
      <c r="A9" s="266" t="s">
        <v>434</v>
      </c>
      <c r="B9" s="266"/>
      <c r="C9" s="297" t="s">
        <v>33</v>
      </c>
      <c r="D9" s="297"/>
      <c r="E9" s="297" t="s">
        <v>435</v>
      </c>
      <c r="F9" s="297"/>
      <c r="G9" s="297" t="s">
        <v>448</v>
      </c>
      <c r="H9" s="298"/>
      <c r="I9" s="266"/>
      <c r="J9" s="297" t="s">
        <v>33</v>
      </c>
      <c r="K9" s="297"/>
      <c r="L9" s="297" t="s">
        <v>435</v>
      </c>
      <c r="M9" s="297"/>
      <c r="N9" s="297" t="s">
        <v>448</v>
      </c>
      <c r="O9" s="298"/>
    </row>
    <row r="10" spans="1:18" ht="11.25" customHeight="1">
      <c r="A10" s="228" t="s">
        <v>7</v>
      </c>
      <c r="C10" s="391">
        <v>3</v>
      </c>
      <c r="D10" s="419"/>
      <c r="E10" s="391" t="s">
        <v>36</v>
      </c>
      <c r="F10" s="419"/>
      <c r="G10" s="391" t="s">
        <v>36</v>
      </c>
      <c r="H10" s="149"/>
      <c r="J10" s="391">
        <v>3</v>
      </c>
      <c r="K10" s="419"/>
      <c r="L10" s="391" t="s">
        <v>36</v>
      </c>
      <c r="M10" s="419"/>
      <c r="N10" s="391" t="s">
        <v>36</v>
      </c>
      <c r="O10" s="149"/>
      <c r="R10" s="67"/>
    </row>
    <row r="11" spans="1:18" ht="11.25" customHeight="1">
      <c r="A11" s="644" t="s">
        <v>751</v>
      </c>
      <c r="C11" s="391">
        <v>6</v>
      </c>
      <c r="D11" s="149"/>
      <c r="E11" s="391">
        <v>183</v>
      </c>
      <c r="F11" s="149"/>
      <c r="G11" s="391">
        <v>25</v>
      </c>
      <c r="H11" s="149"/>
      <c r="J11" s="391">
        <v>7</v>
      </c>
      <c r="K11" s="149"/>
      <c r="L11" s="391">
        <v>158</v>
      </c>
      <c r="M11" s="149"/>
      <c r="N11" s="391">
        <v>30</v>
      </c>
      <c r="O11" s="149"/>
      <c r="Q11" s="397"/>
      <c r="R11" s="67"/>
    </row>
    <row r="12" spans="1:18" ht="11.25" customHeight="1">
      <c r="A12" s="228" t="s">
        <v>34</v>
      </c>
      <c r="C12" s="391">
        <v>4</v>
      </c>
      <c r="D12" s="419"/>
      <c r="E12" s="391">
        <v>167</v>
      </c>
      <c r="F12" s="419"/>
      <c r="G12" s="391">
        <v>21</v>
      </c>
      <c r="H12" s="149"/>
      <c r="J12" s="391">
        <v>6</v>
      </c>
      <c r="K12" s="419"/>
      <c r="L12" s="391">
        <v>145</v>
      </c>
      <c r="M12" s="419"/>
      <c r="N12" s="391">
        <v>22</v>
      </c>
      <c r="O12" s="149"/>
      <c r="Q12" s="397"/>
      <c r="R12" s="67"/>
    </row>
    <row r="13" spans="1:18" ht="11.25" customHeight="1">
      <c r="A13" s="228" t="s">
        <v>35</v>
      </c>
      <c r="C13" s="391">
        <v>3</v>
      </c>
      <c r="D13" s="419"/>
      <c r="E13" s="391">
        <v>67</v>
      </c>
      <c r="F13" s="419"/>
      <c r="G13" s="391">
        <v>28</v>
      </c>
      <c r="H13" s="149"/>
      <c r="J13" s="391">
        <v>3</v>
      </c>
      <c r="K13" s="419"/>
      <c r="L13" s="391">
        <v>69</v>
      </c>
      <c r="M13" s="419"/>
      <c r="N13" s="391">
        <v>30</v>
      </c>
      <c r="O13" s="149"/>
      <c r="Q13" s="397"/>
      <c r="R13" s="67"/>
    </row>
    <row r="14" spans="1:18" ht="11.25" customHeight="1">
      <c r="A14" s="228" t="s">
        <v>13</v>
      </c>
      <c r="C14" s="422" t="s">
        <v>25</v>
      </c>
      <c r="D14" s="419"/>
      <c r="E14" s="422" t="s">
        <v>36</v>
      </c>
      <c r="F14" s="419"/>
      <c r="G14" s="422" t="s">
        <v>36</v>
      </c>
      <c r="H14" s="149"/>
      <c r="J14" s="422" t="s">
        <v>25</v>
      </c>
      <c r="K14" s="419"/>
      <c r="L14" s="422" t="s">
        <v>36</v>
      </c>
      <c r="M14" s="419"/>
      <c r="N14" s="422" t="s">
        <v>36</v>
      </c>
      <c r="O14" s="149"/>
      <c r="Q14" s="397"/>
      <c r="R14" s="67"/>
    </row>
    <row r="15" spans="1:18" ht="11.25" customHeight="1">
      <c r="A15" s="228" t="s">
        <v>144</v>
      </c>
      <c r="C15" s="391">
        <v>2</v>
      </c>
      <c r="D15" s="419"/>
      <c r="E15" s="422" t="s">
        <v>36</v>
      </c>
      <c r="F15" s="419"/>
      <c r="G15" s="422" t="s">
        <v>36</v>
      </c>
      <c r="H15" s="149"/>
      <c r="J15" s="391">
        <v>3</v>
      </c>
      <c r="K15" s="419"/>
      <c r="L15" s="422" t="s">
        <v>36</v>
      </c>
      <c r="M15" s="419"/>
      <c r="N15" s="422" t="s">
        <v>36</v>
      </c>
      <c r="O15" s="149"/>
      <c r="Q15" s="397"/>
      <c r="R15" s="67"/>
    </row>
    <row r="16" spans="1:18" ht="11.25" customHeight="1">
      <c r="A16" s="228" t="s">
        <v>16</v>
      </c>
      <c r="C16" s="391">
        <v>5</v>
      </c>
      <c r="D16" s="149"/>
      <c r="E16" s="391">
        <v>641</v>
      </c>
      <c r="F16" s="149"/>
      <c r="G16" s="391">
        <v>34</v>
      </c>
      <c r="H16" s="149"/>
      <c r="J16" s="391">
        <v>5</v>
      </c>
      <c r="K16" s="149"/>
      <c r="L16" s="391">
        <v>600</v>
      </c>
      <c r="M16" s="149"/>
      <c r="N16" s="391">
        <v>48</v>
      </c>
      <c r="O16" s="149"/>
      <c r="Q16" s="397"/>
      <c r="R16" s="67"/>
    </row>
    <row r="17" spans="1:23" ht="11.25" customHeight="1">
      <c r="A17" s="228" t="s">
        <v>17</v>
      </c>
      <c r="C17" s="391">
        <v>5</v>
      </c>
      <c r="D17" s="149"/>
      <c r="E17" s="391">
        <v>310</v>
      </c>
      <c r="F17" s="149"/>
      <c r="G17" s="391">
        <v>22</v>
      </c>
      <c r="H17" s="149"/>
      <c r="J17" s="391">
        <v>5</v>
      </c>
      <c r="K17" s="149" t="s">
        <v>432</v>
      </c>
      <c r="L17" s="391">
        <v>293</v>
      </c>
      <c r="M17" s="149" t="s">
        <v>432</v>
      </c>
      <c r="N17" s="391">
        <v>21</v>
      </c>
      <c r="O17" s="149" t="s">
        <v>432</v>
      </c>
      <c r="Q17" s="397"/>
      <c r="R17" s="67"/>
    </row>
    <row r="18" spans="1:23" ht="11.25" customHeight="1">
      <c r="A18" s="228" t="s">
        <v>18</v>
      </c>
      <c r="C18" s="391">
        <v>3</v>
      </c>
      <c r="D18" s="149"/>
      <c r="E18" s="391">
        <v>187</v>
      </c>
      <c r="F18" s="149"/>
      <c r="G18" s="391">
        <v>17</v>
      </c>
      <c r="H18" s="149"/>
      <c r="J18" s="391">
        <v>3</v>
      </c>
      <c r="K18" s="149"/>
      <c r="L18" s="391">
        <v>202</v>
      </c>
      <c r="M18" s="149"/>
      <c r="N18" s="391">
        <v>90</v>
      </c>
      <c r="O18" s="149"/>
      <c r="Q18" s="397"/>
      <c r="R18" s="67"/>
    </row>
    <row r="19" spans="1:23" ht="11.25" customHeight="1">
      <c r="A19" s="228" t="s">
        <v>37</v>
      </c>
      <c r="C19" s="391">
        <v>5</v>
      </c>
      <c r="D19" s="419"/>
      <c r="E19" s="391">
        <v>277</v>
      </c>
      <c r="F19" s="149"/>
      <c r="G19" s="391">
        <v>32</v>
      </c>
      <c r="H19" s="149"/>
      <c r="J19" s="391">
        <v>5</v>
      </c>
      <c r="K19" s="419"/>
      <c r="L19" s="391">
        <v>232</v>
      </c>
      <c r="M19" s="149"/>
      <c r="N19" s="391">
        <v>19</v>
      </c>
      <c r="O19" s="149"/>
      <c r="Q19" s="397"/>
      <c r="R19" s="67"/>
    </row>
    <row r="20" spans="1:23" ht="11.25" customHeight="1">
      <c r="A20" s="228" t="s">
        <v>19</v>
      </c>
      <c r="C20" s="391">
        <v>4</v>
      </c>
      <c r="D20" s="419"/>
      <c r="E20" s="391">
        <v>128</v>
      </c>
      <c r="F20" s="149"/>
      <c r="G20" s="391">
        <v>36</v>
      </c>
      <c r="H20" s="149"/>
      <c r="J20" s="391">
        <v>4</v>
      </c>
      <c r="K20" s="419"/>
      <c r="L20" s="391">
        <v>116</v>
      </c>
      <c r="M20" s="149"/>
      <c r="N20" s="391">
        <v>38</v>
      </c>
      <c r="O20" s="149"/>
      <c r="Q20" s="397"/>
      <c r="R20" s="67"/>
    </row>
    <row r="21" spans="1:23" ht="11.25" customHeight="1">
      <c r="A21" s="644" t="s">
        <v>752</v>
      </c>
      <c r="C21" s="391">
        <v>6</v>
      </c>
      <c r="D21" s="419"/>
      <c r="E21" s="391">
        <v>271</v>
      </c>
      <c r="F21" s="149"/>
      <c r="G21" s="391">
        <v>18</v>
      </c>
      <c r="H21" s="149"/>
      <c r="J21" s="391">
        <v>6</v>
      </c>
      <c r="K21" s="419"/>
      <c r="L21" s="391">
        <v>233</v>
      </c>
      <c r="M21" s="149"/>
      <c r="N21" s="391">
        <v>29</v>
      </c>
      <c r="O21" s="149"/>
      <c r="Q21" s="397"/>
      <c r="R21" s="67"/>
    </row>
    <row r="22" spans="1:23" ht="11.25" customHeight="1">
      <c r="A22" s="228" t="s">
        <v>22</v>
      </c>
      <c r="C22" s="391">
        <v>3</v>
      </c>
      <c r="D22" s="419"/>
      <c r="E22" s="391">
        <v>56</v>
      </c>
      <c r="F22" s="419"/>
      <c r="G22" s="391">
        <v>5</v>
      </c>
      <c r="H22" s="149"/>
      <c r="J22" s="391">
        <v>3</v>
      </c>
      <c r="K22" s="419"/>
      <c r="L22" s="391">
        <v>58</v>
      </c>
      <c r="M22" s="419"/>
      <c r="N22" s="391">
        <v>5</v>
      </c>
      <c r="O22" s="149"/>
      <c r="Q22" s="397"/>
      <c r="R22" s="67"/>
    </row>
    <row r="23" spans="1:23" ht="11.25" customHeight="1">
      <c r="A23" s="228" t="s">
        <v>371</v>
      </c>
      <c r="C23" s="391">
        <v>2</v>
      </c>
      <c r="D23" s="419"/>
      <c r="E23" s="422" t="s">
        <v>36</v>
      </c>
      <c r="F23" s="419"/>
      <c r="G23" s="422" t="s">
        <v>36</v>
      </c>
      <c r="H23" s="149"/>
      <c r="J23" s="391">
        <v>2</v>
      </c>
      <c r="K23" s="419"/>
      <c r="L23" s="422" t="s">
        <v>36</v>
      </c>
      <c r="M23" s="419"/>
      <c r="N23" s="422" t="s">
        <v>36</v>
      </c>
      <c r="O23" s="149"/>
      <c r="Q23" s="397"/>
      <c r="R23" s="67"/>
    </row>
    <row r="24" spans="1:23" ht="11.25" customHeight="1">
      <c r="A24" s="228" t="s">
        <v>26</v>
      </c>
      <c r="C24" s="391">
        <v>3</v>
      </c>
      <c r="D24" s="419"/>
      <c r="E24" s="422" t="s">
        <v>36</v>
      </c>
      <c r="F24" s="419"/>
      <c r="G24" s="422" t="s">
        <v>36</v>
      </c>
      <c r="H24" s="149"/>
      <c r="J24" s="391">
        <v>2</v>
      </c>
      <c r="K24" s="149" t="s">
        <v>432</v>
      </c>
      <c r="L24" s="422" t="s">
        <v>36</v>
      </c>
      <c r="M24" s="419"/>
      <c r="N24" s="422" t="s">
        <v>36</v>
      </c>
      <c r="O24" s="149"/>
      <c r="Q24" s="397"/>
      <c r="R24" s="67"/>
    </row>
    <row r="25" spans="1:23" ht="11.25" customHeight="1">
      <c r="A25" s="228" t="s">
        <v>449</v>
      </c>
      <c r="C25" s="433" t="s">
        <v>25</v>
      </c>
      <c r="D25" s="434"/>
      <c r="E25" s="433" t="s">
        <v>25</v>
      </c>
      <c r="F25" s="431"/>
      <c r="G25" s="430">
        <v>29</v>
      </c>
      <c r="H25" s="149" t="s">
        <v>705</v>
      </c>
      <c r="I25" s="113"/>
      <c r="J25" s="433" t="s">
        <v>25</v>
      </c>
      <c r="K25" s="434"/>
      <c r="L25" s="433" t="s">
        <v>25</v>
      </c>
      <c r="M25" s="431"/>
      <c r="N25" s="430">
        <v>29</v>
      </c>
      <c r="O25" s="149" t="s">
        <v>705</v>
      </c>
      <c r="Q25" s="397"/>
      <c r="R25" s="67"/>
    </row>
    <row r="26" spans="1:23" ht="11.25" customHeight="1">
      <c r="A26" s="563" t="s">
        <v>707</v>
      </c>
      <c r="C26" s="391">
        <v>54</v>
      </c>
      <c r="D26" s="419"/>
      <c r="E26" s="391">
        <v>2470</v>
      </c>
      <c r="F26" s="426" t="s">
        <v>432</v>
      </c>
      <c r="G26" s="391">
        <v>311</v>
      </c>
      <c r="H26" s="426"/>
      <c r="J26" s="391">
        <v>57</v>
      </c>
      <c r="K26" s="419"/>
      <c r="L26" s="391">
        <v>2290</v>
      </c>
      <c r="M26" s="426" t="s">
        <v>432</v>
      </c>
      <c r="N26" s="391">
        <v>404</v>
      </c>
      <c r="O26" s="426"/>
      <c r="Q26" s="397"/>
      <c r="R26" s="67"/>
    </row>
    <row r="27" spans="1:23" ht="11.25" customHeight="1">
      <c r="A27" s="228" t="s">
        <v>28</v>
      </c>
      <c r="C27" s="435" t="s">
        <v>25</v>
      </c>
      <c r="D27" s="436"/>
      <c r="E27" s="435" t="s">
        <v>25</v>
      </c>
      <c r="F27" s="436"/>
      <c r="G27" s="435" t="s">
        <v>25</v>
      </c>
      <c r="H27" s="300"/>
      <c r="I27" s="115"/>
      <c r="J27" s="435" t="s">
        <v>25</v>
      </c>
      <c r="K27" s="436"/>
      <c r="L27" s="435" t="s">
        <v>25</v>
      </c>
      <c r="M27" s="436"/>
      <c r="N27" s="435" t="s">
        <v>25</v>
      </c>
      <c r="O27" s="300"/>
      <c r="R27" s="67"/>
    </row>
    <row r="28" spans="1:23" ht="11.25" customHeight="1">
      <c r="A28" s="562" t="s">
        <v>706</v>
      </c>
      <c r="B28" s="113"/>
      <c r="C28" s="437">
        <v>54</v>
      </c>
      <c r="D28" s="438"/>
      <c r="E28" s="437">
        <v>2470</v>
      </c>
      <c r="F28" s="426" t="s">
        <v>432</v>
      </c>
      <c r="G28" s="437">
        <v>311</v>
      </c>
      <c r="H28" s="426"/>
      <c r="I28" s="50"/>
      <c r="J28" s="437">
        <v>57</v>
      </c>
      <c r="K28" s="438"/>
      <c r="L28" s="437">
        <v>2290</v>
      </c>
      <c r="M28" s="426" t="s">
        <v>432</v>
      </c>
      <c r="N28" s="437">
        <v>404</v>
      </c>
      <c r="O28" s="426"/>
      <c r="R28" s="67"/>
    </row>
    <row r="29" spans="1:23" s="119" customFormat="1" ht="11.25" customHeight="1">
      <c r="A29" s="709" t="s">
        <v>527</v>
      </c>
      <c r="B29" s="702"/>
      <c r="C29" s="702"/>
      <c r="D29" s="702"/>
      <c r="E29" s="702"/>
      <c r="F29" s="702"/>
      <c r="G29" s="702"/>
      <c r="H29" s="702"/>
      <c r="I29" s="702"/>
      <c r="J29" s="702"/>
      <c r="K29" s="702"/>
      <c r="L29" s="702"/>
      <c r="M29" s="702"/>
      <c r="N29" s="702"/>
      <c r="O29" s="702"/>
    </row>
    <row r="30" spans="1:23" s="114" customFormat="1" ht="22.5" customHeight="1">
      <c r="A30" s="696" t="s">
        <v>820</v>
      </c>
      <c r="B30" s="700"/>
      <c r="C30" s="700"/>
      <c r="D30" s="700"/>
      <c r="E30" s="700"/>
      <c r="F30" s="700"/>
      <c r="G30" s="700"/>
      <c r="H30" s="700"/>
      <c r="I30" s="700"/>
      <c r="J30" s="700"/>
      <c r="K30" s="700"/>
      <c r="L30" s="700"/>
      <c r="M30" s="700"/>
      <c r="N30" s="700"/>
      <c r="O30" s="700"/>
      <c r="P30" s="132"/>
      <c r="Q30" s="132"/>
      <c r="R30" s="132"/>
      <c r="S30" s="132"/>
      <c r="T30" s="132"/>
      <c r="U30" s="132"/>
      <c r="V30" s="132"/>
      <c r="W30" s="132"/>
    </row>
    <row r="31" spans="1:23" ht="11.25" customHeight="1">
      <c r="A31" s="694" t="s">
        <v>439</v>
      </c>
      <c r="B31" s="699"/>
      <c r="C31" s="699"/>
      <c r="D31" s="699"/>
      <c r="E31" s="699"/>
      <c r="F31" s="699"/>
      <c r="G31" s="699"/>
      <c r="H31" s="699"/>
      <c r="I31" s="699"/>
      <c r="J31" s="699"/>
      <c r="K31" s="699"/>
      <c r="L31" s="699"/>
      <c r="M31" s="699"/>
      <c r="N31" s="699"/>
      <c r="O31" s="699"/>
      <c r="Q31" s="611" t="s">
        <v>128</v>
      </c>
    </row>
    <row r="32" spans="1:23" ht="11.25" customHeight="1">
      <c r="A32" s="694" t="s">
        <v>444</v>
      </c>
      <c r="B32" s="699"/>
      <c r="C32" s="699"/>
      <c r="D32" s="699"/>
      <c r="E32" s="699"/>
      <c r="F32" s="699"/>
      <c r="G32" s="699"/>
      <c r="H32" s="699"/>
      <c r="I32" s="699"/>
      <c r="J32" s="699"/>
      <c r="K32" s="699"/>
      <c r="L32" s="699"/>
      <c r="M32" s="699"/>
      <c r="N32" s="699"/>
      <c r="O32" s="699"/>
    </row>
    <row r="33" spans="1:15" ht="22.5" customHeight="1">
      <c r="A33" s="696" t="s">
        <v>445</v>
      </c>
      <c r="B33" s="700"/>
      <c r="C33" s="700"/>
      <c r="D33" s="700"/>
      <c r="E33" s="700"/>
      <c r="F33" s="700"/>
      <c r="G33" s="700"/>
      <c r="H33" s="700"/>
      <c r="I33" s="700"/>
      <c r="J33" s="700"/>
      <c r="K33" s="700"/>
      <c r="L33" s="700"/>
      <c r="M33" s="700"/>
      <c r="N33" s="700"/>
      <c r="O33" s="700"/>
    </row>
    <row r="34" spans="1:15" ht="11.25" customHeight="1">
      <c r="A34" s="694" t="s">
        <v>446</v>
      </c>
      <c r="B34" s="699"/>
      <c r="C34" s="699"/>
      <c r="D34" s="699"/>
      <c r="E34" s="699"/>
      <c r="F34" s="699"/>
      <c r="G34" s="699"/>
      <c r="H34" s="699"/>
      <c r="I34" s="699"/>
      <c r="J34" s="699"/>
      <c r="K34" s="699"/>
      <c r="L34" s="699"/>
      <c r="M34" s="699"/>
      <c r="N34" s="699"/>
      <c r="O34" s="699"/>
    </row>
    <row r="35" spans="1:15" ht="11.25" customHeight="1">
      <c r="A35" s="694" t="s">
        <v>447</v>
      </c>
      <c r="B35" s="699"/>
      <c r="C35" s="699"/>
      <c r="D35" s="699"/>
      <c r="E35" s="699"/>
      <c r="F35" s="699"/>
      <c r="G35" s="699"/>
      <c r="H35" s="699"/>
      <c r="I35" s="699"/>
      <c r="J35" s="699"/>
      <c r="K35" s="699"/>
      <c r="L35" s="699"/>
      <c r="M35" s="699"/>
      <c r="N35" s="699"/>
      <c r="O35" s="699"/>
    </row>
    <row r="36" spans="1:15" ht="11.25" customHeight="1">
      <c r="A36" s="694" t="s">
        <v>703</v>
      </c>
      <c r="B36" s="699"/>
      <c r="C36" s="699"/>
      <c r="D36" s="699"/>
      <c r="E36" s="699"/>
      <c r="F36" s="699"/>
      <c r="G36" s="699"/>
      <c r="H36" s="699"/>
      <c r="I36" s="699"/>
      <c r="J36" s="699"/>
      <c r="K36" s="699"/>
      <c r="L36" s="699"/>
      <c r="M36" s="699"/>
      <c r="N36" s="699"/>
      <c r="O36" s="699"/>
    </row>
    <row r="37" spans="1:15" ht="11.25" customHeight="1">
      <c r="A37" s="694" t="s">
        <v>704</v>
      </c>
      <c r="B37" s="699"/>
      <c r="C37" s="699"/>
      <c r="D37" s="699"/>
      <c r="E37" s="699"/>
      <c r="F37" s="699"/>
      <c r="G37" s="699"/>
      <c r="H37" s="699"/>
      <c r="I37" s="699"/>
      <c r="J37" s="699"/>
      <c r="K37" s="699"/>
      <c r="L37" s="699"/>
      <c r="M37" s="699"/>
      <c r="N37" s="699"/>
      <c r="O37" s="699"/>
    </row>
    <row r="38" spans="1:15" ht="11.25" customHeight="1">
      <c r="E38" s="67"/>
      <c r="G38" s="67"/>
      <c r="H38" s="67"/>
      <c r="I38" s="67"/>
      <c r="J38" s="67"/>
      <c r="K38" s="67"/>
      <c r="L38" s="67"/>
      <c r="M38" s="67"/>
      <c r="N38" s="67"/>
    </row>
    <row r="39" spans="1:15" ht="11.25" customHeight="1">
      <c r="C39" s="67"/>
      <c r="E39" s="67"/>
      <c r="F39" s="67"/>
      <c r="G39" s="67"/>
      <c r="H39" s="67"/>
      <c r="I39" s="67"/>
      <c r="J39" s="67"/>
      <c r="K39" s="67"/>
      <c r="L39" s="67"/>
      <c r="M39" s="67"/>
      <c r="N39" s="67"/>
    </row>
  </sheetData>
  <mergeCells count="16">
    <mergeCell ref="A1:O1"/>
    <mergeCell ref="A2:O2"/>
    <mergeCell ref="C6:H6"/>
    <mergeCell ref="J6:O6"/>
    <mergeCell ref="A4:O4"/>
    <mergeCell ref="A3:O3"/>
    <mergeCell ref="A5:O5"/>
    <mergeCell ref="A33:O33"/>
    <mergeCell ref="A34:O34"/>
    <mergeCell ref="A35:O35"/>
    <mergeCell ref="A37:O37"/>
    <mergeCell ref="A29:O29"/>
    <mergeCell ref="A32:O32"/>
    <mergeCell ref="A31:O31"/>
    <mergeCell ref="A30:O30"/>
    <mergeCell ref="A36:O36"/>
  </mergeCells>
  <pageMargins left="0.5" right="0.5" top="0.75" bottom="0.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3F46-9A5C-4D5F-BE3E-B1373C234727}">
  <dimension ref="A1:AH43"/>
  <sheetViews>
    <sheetView zoomScaleNormal="100" workbookViewId="0">
      <selection activeCell="O43" sqref="O43"/>
    </sheetView>
  </sheetViews>
  <sheetFormatPr defaultRowHeight="14"/>
  <cols>
    <col min="1" max="1" width="26.54296875" customWidth="1"/>
    <col min="2" max="2" width="1.7265625" customWidth="1"/>
    <col min="3" max="3" width="3.7265625" customWidth="1"/>
    <col min="4" max="4" width="1.7265625" customWidth="1"/>
    <col min="5" max="5" width="3.7265625" customWidth="1"/>
    <col min="6" max="6" width="1.7265625" customWidth="1"/>
    <col min="7" max="7" width="3.7265625" customWidth="1"/>
    <col min="8" max="8" width="1.7265625" customWidth="1"/>
    <col min="9" max="9" width="4.7265625" customWidth="1"/>
    <col min="10" max="10" width="1.7265625" customWidth="1"/>
    <col min="11" max="11" width="5.7265625" customWidth="1"/>
    <col min="12" max="12" width="1.7265625" customWidth="1"/>
    <col min="13" max="13" width="7.7265625" customWidth="1"/>
    <col min="14" max="14" width="1.7265625" customWidth="1"/>
    <col min="15" max="15" width="7.7265625" customWidth="1"/>
    <col min="16" max="16" width="1.7265625" customWidth="1"/>
    <col min="17" max="17" width="7.7265625" customWidth="1"/>
    <col min="18" max="18" width="1.7265625" customWidth="1"/>
    <col min="19" max="19" width="7.7265625" customWidth="1"/>
    <col min="20" max="20" width="1.7265625" customWidth="1"/>
    <col min="21" max="21" width="7.7265625" customWidth="1"/>
    <col min="22" max="22" width="1.7265625" customWidth="1"/>
    <col min="23" max="23" width="7.7265625" customWidth="1"/>
    <col min="24" max="24" width="1.7265625" customWidth="1"/>
    <col min="34" max="34" width="11.54296875" bestFit="1" customWidth="1"/>
  </cols>
  <sheetData>
    <row r="1" spans="1:34" ht="11.25" customHeight="1">
      <c r="A1" s="713" t="s">
        <v>38</v>
      </c>
      <c r="B1" s="703"/>
      <c r="C1" s="703"/>
      <c r="D1" s="703"/>
      <c r="E1" s="703"/>
      <c r="F1" s="703"/>
      <c r="G1" s="703"/>
      <c r="H1" s="703"/>
      <c r="I1" s="703"/>
      <c r="J1" s="703"/>
      <c r="K1" s="703"/>
      <c r="L1" s="703"/>
      <c r="M1" s="703"/>
      <c r="N1" s="703"/>
      <c r="O1" s="703"/>
      <c r="P1" s="703"/>
      <c r="Q1" s="703"/>
      <c r="R1" s="703"/>
      <c r="S1" s="703"/>
      <c r="T1" s="703"/>
      <c r="U1" s="703"/>
      <c r="V1" s="703"/>
      <c r="W1" s="703"/>
      <c r="X1" s="703"/>
    </row>
    <row r="2" spans="1:34" ht="11.25" customHeight="1">
      <c r="A2" s="714" t="s">
        <v>725</v>
      </c>
      <c r="B2" s="703"/>
      <c r="C2" s="703"/>
      <c r="D2" s="703"/>
      <c r="E2" s="703"/>
      <c r="F2" s="703"/>
      <c r="G2" s="703"/>
      <c r="H2" s="703"/>
      <c r="I2" s="703"/>
      <c r="J2" s="703"/>
      <c r="K2" s="703"/>
      <c r="L2" s="703"/>
      <c r="M2" s="703"/>
      <c r="N2" s="703"/>
      <c r="O2" s="703"/>
      <c r="P2" s="703"/>
      <c r="Q2" s="703"/>
      <c r="R2" s="703"/>
      <c r="S2" s="703"/>
      <c r="T2" s="703"/>
      <c r="U2" s="703"/>
      <c r="V2" s="703"/>
      <c r="W2" s="703"/>
      <c r="X2" s="703"/>
    </row>
    <row r="3" spans="1:34" ht="11.25" customHeight="1">
      <c r="A3" s="715"/>
      <c r="B3" s="716"/>
      <c r="C3" s="716"/>
      <c r="D3" s="716"/>
      <c r="E3" s="716"/>
      <c r="F3" s="716"/>
      <c r="G3" s="716"/>
      <c r="H3" s="716"/>
      <c r="I3" s="716"/>
      <c r="J3" s="716"/>
      <c r="K3" s="716"/>
      <c r="L3" s="716"/>
      <c r="M3" s="716"/>
      <c r="N3" s="716"/>
      <c r="O3" s="716"/>
      <c r="P3" s="716"/>
      <c r="Q3" s="716"/>
      <c r="R3" s="716"/>
      <c r="S3" s="716"/>
      <c r="T3" s="716"/>
      <c r="U3" s="716"/>
      <c r="V3" s="716"/>
      <c r="W3" s="716"/>
      <c r="X3" s="716"/>
    </row>
    <row r="4" spans="1:34" ht="11.25" customHeight="1">
      <c r="A4" s="210"/>
      <c r="B4" s="210"/>
      <c r="C4" s="210"/>
      <c r="D4" s="210"/>
      <c r="E4" s="210"/>
      <c r="F4" s="210"/>
      <c r="G4" s="210"/>
      <c r="H4" s="210"/>
      <c r="I4" s="210"/>
      <c r="J4" s="210"/>
      <c r="K4" s="210"/>
      <c r="L4" s="210"/>
      <c r="M4" s="210" t="s">
        <v>39</v>
      </c>
      <c r="N4" s="279"/>
      <c r="O4" s="210" t="s">
        <v>40</v>
      </c>
      <c r="P4" s="279"/>
      <c r="Q4" s="210" t="s">
        <v>41</v>
      </c>
      <c r="R4" s="279"/>
      <c r="S4" s="210"/>
      <c r="T4" s="210"/>
      <c r="U4" s="210"/>
      <c r="V4" s="210"/>
      <c r="W4" s="210" t="s">
        <v>32</v>
      </c>
      <c r="X4" s="140"/>
    </row>
    <row r="5" spans="1:34" ht="11.25" customHeight="1">
      <c r="A5" s="226"/>
      <c r="B5" s="717" t="s">
        <v>365</v>
      </c>
      <c r="C5" s="715"/>
      <c r="D5" s="715"/>
      <c r="E5" s="715"/>
      <c r="F5" s="715"/>
      <c r="G5" s="715"/>
      <c r="H5" s="715"/>
      <c r="I5" s="715"/>
      <c r="J5" s="226"/>
      <c r="K5" s="226"/>
      <c r="L5" s="226"/>
      <c r="M5" s="560" t="s">
        <v>683</v>
      </c>
      <c r="N5" s="134"/>
      <c r="O5" s="226" t="s">
        <v>42</v>
      </c>
      <c r="P5" s="134"/>
      <c r="Q5" s="226" t="s">
        <v>453</v>
      </c>
      <c r="R5" s="134"/>
      <c r="S5" s="226" t="s">
        <v>43</v>
      </c>
      <c r="T5" s="226"/>
      <c r="U5" s="226" t="s">
        <v>4</v>
      </c>
      <c r="V5" s="134"/>
      <c r="W5" s="226" t="s">
        <v>44</v>
      </c>
      <c r="X5" s="138"/>
    </row>
    <row r="6" spans="1:34" ht="11.25" customHeight="1">
      <c r="A6" s="226"/>
      <c r="B6" s="226"/>
      <c r="C6" s="717" t="s">
        <v>45</v>
      </c>
      <c r="D6" s="715"/>
      <c r="E6" s="715"/>
      <c r="F6" s="715"/>
      <c r="G6" s="715"/>
      <c r="H6" s="226"/>
      <c r="I6" s="226"/>
      <c r="J6" s="226"/>
      <c r="K6" s="226" t="s">
        <v>30</v>
      </c>
      <c r="L6" s="226"/>
      <c r="M6" s="226" t="s">
        <v>46</v>
      </c>
      <c r="N6" s="134"/>
      <c r="O6" s="393" t="s">
        <v>47</v>
      </c>
      <c r="P6" s="134"/>
      <c r="Q6" s="226" t="s">
        <v>46</v>
      </c>
      <c r="R6" s="134"/>
      <c r="S6" s="226" t="s">
        <v>46</v>
      </c>
      <c r="T6" s="226"/>
      <c r="U6" s="226" t="s">
        <v>48</v>
      </c>
      <c r="V6" s="134"/>
      <c r="W6" s="226" t="s">
        <v>46</v>
      </c>
      <c r="X6" s="138"/>
    </row>
    <row r="7" spans="1:34" ht="11.25" customHeight="1">
      <c r="A7" s="297" t="s">
        <v>49</v>
      </c>
      <c r="B7" s="297"/>
      <c r="C7" s="711" t="s">
        <v>50</v>
      </c>
      <c r="D7" s="718"/>
      <c r="E7" s="297" t="s">
        <v>51</v>
      </c>
      <c r="F7" s="297"/>
      <c r="G7" s="297" t="s">
        <v>451</v>
      </c>
      <c r="H7" s="297"/>
      <c r="I7" s="396" t="s">
        <v>52</v>
      </c>
      <c r="J7" s="297"/>
      <c r="K7" s="297" t="s">
        <v>452</v>
      </c>
      <c r="L7" s="297"/>
      <c r="M7" s="297" t="s">
        <v>53</v>
      </c>
      <c r="N7" s="298"/>
      <c r="O7" s="297" t="s">
        <v>360</v>
      </c>
      <c r="P7" s="298"/>
      <c r="Q7" s="297" t="s">
        <v>53</v>
      </c>
      <c r="R7" s="298"/>
      <c r="S7" s="297" t="s">
        <v>53</v>
      </c>
      <c r="T7" s="297"/>
      <c r="U7" s="297" t="s">
        <v>54</v>
      </c>
      <c r="V7" s="298"/>
      <c r="W7" s="297" t="s">
        <v>53</v>
      </c>
      <c r="X7" s="301"/>
    </row>
    <row r="8" spans="1:34" ht="11.25" customHeight="1">
      <c r="A8" s="665" t="s">
        <v>841</v>
      </c>
      <c r="B8" s="1"/>
      <c r="C8" s="370">
        <v>8</v>
      </c>
      <c r="D8" s="114"/>
      <c r="E8" s="303">
        <v>2</v>
      </c>
      <c r="F8" s="611"/>
      <c r="G8" s="610" t="s">
        <v>25</v>
      </c>
      <c r="H8" s="1"/>
      <c r="I8" s="612">
        <v>10</v>
      </c>
      <c r="J8" s="620"/>
      <c r="K8" s="612">
        <v>14</v>
      </c>
      <c r="L8" s="303"/>
      <c r="M8" s="625">
        <v>25.6</v>
      </c>
      <c r="N8" s="149" t="s">
        <v>55</v>
      </c>
      <c r="O8" s="625">
        <v>61.4</v>
      </c>
      <c r="P8" s="149" t="s">
        <v>55</v>
      </c>
      <c r="Q8" s="629">
        <v>7950</v>
      </c>
      <c r="R8" s="149" t="s">
        <v>55</v>
      </c>
      <c r="S8" s="629">
        <v>4966</v>
      </c>
      <c r="T8" s="439"/>
      <c r="U8" s="625">
        <v>62.5</v>
      </c>
      <c r="V8" s="149" t="s">
        <v>55</v>
      </c>
      <c r="W8" s="629">
        <v>407</v>
      </c>
      <c r="X8" s="149" t="s">
        <v>55</v>
      </c>
      <c r="Z8" s="304"/>
      <c r="AA8" s="304"/>
      <c r="AB8" s="305"/>
      <c r="AC8" s="305"/>
      <c r="AD8" s="305"/>
      <c r="AE8" s="305"/>
      <c r="AF8" s="304"/>
      <c r="AG8" s="304"/>
      <c r="AH8" s="305"/>
    </row>
    <row r="9" spans="1:34" ht="11.25" customHeight="1">
      <c r="A9" s="302" t="s">
        <v>9</v>
      </c>
      <c r="B9" s="1"/>
      <c r="C9" s="370">
        <v>3</v>
      </c>
      <c r="D9" s="114"/>
      <c r="E9" s="610" t="s">
        <v>25</v>
      </c>
      <c r="F9" s="611"/>
      <c r="G9" s="610" t="s">
        <v>25</v>
      </c>
      <c r="H9" s="1"/>
      <c r="I9" s="612">
        <v>3</v>
      </c>
      <c r="J9" s="620"/>
      <c r="K9" s="612">
        <v>5</v>
      </c>
      <c r="L9" s="303"/>
      <c r="M9" s="625">
        <v>5.3</v>
      </c>
      <c r="N9" s="149"/>
      <c r="O9" s="625">
        <v>34.5</v>
      </c>
      <c r="P9" s="149"/>
      <c r="Q9" s="629">
        <v>1765</v>
      </c>
      <c r="R9" s="149"/>
      <c r="S9" s="629">
        <v>1212</v>
      </c>
      <c r="T9" s="439"/>
      <c r="U9" s="625">
        <v>68.7</v>
      </c>
      <c r="V9" s="149"/>
      <c r="W9" s="629">
        <v>120</v>
      </c>
      <c r="X9" s="149"/>
      <c r="Z9" s="304"/>
      <c r="AA9" s="304"/>
      <c r="AB9" s="305"/>
      <c r="AC9" s="305"/>
      <c r="AD9" s="305"/>
      <c r="AE9" s="305"/>
      <c r="AF9" s="304"/>
      <c r="AG9" s="304"/>
      <c r="AH9" s="305"/>
    </row>
    <row r="10" spans="1:34" ht="11.25" customHeight="1">
      <c r="A10" s="302" t="s">
        <v>357</v>
      </c>
      <c r="B10" s="1"/>
      <c r="C10" s="370">
        <v>4</v>
      </c>
      <c r="D10" s="149" t="s">
        <v>753</v>
      </c>
      <c r="E10" s="612">
        <v>2</v>
      </c>
      <c r="F10" s="611"/>
      <c r="G10" s="610" t="s">
        <v>25</v>
      </c>
      <c r="H10" s="1"/>
      <c r="I10" s="612">
        <v>6</v>
      </c>
      <c r="J10" s="620"/>
      <c r="K10" s="612">
        <v>12</v>
      </c>
      <c r="L10" s="303"/>
      <c r="M10" s="625">
        <v>18.899999999999999</v>
      </c>
      <c r="N10" s="149"/>
      <c r="O10" s="625">
        <v>17.600000000000001</v>
      </c>
      <c r="P10" s="149"/>
      <c r="Q10" s="629">
        <v>6521</v>
      </c>
      <c r="R10" s="149"/>
      <c r="S10" s="629">
        <v>3402</v>
      </c>
      <c r="T10" s="439"/>
      <c r="U10" s="625">
        <v>52.2</v>
      </c>
      <c r="V10" s="149"/>
      <c r="W10" s="629">
        <v>178</v>
      </c>
      <c r="X10" s="149"/>
      <c r="Z10" s="304"/>
      <c r="AA10" s="304"/>
      <c r="AB10" s="305"/>
      <c r="AC10" s="305"/>
      <c r="AD10" s="305"/>
      <c r="AE10" s="305"/>
      <c r="AF10" s="304"/>
      <c r="AG10" s="304"/>
      <c r="AH10" s="305"/>
    </row>
    <row r="11" spans="1:34" ht="11.25" customHeight="1">
      <c r="A11" s="302" t="s">
        <v>35</v>
      </c>
      <c r="B11" s="1"/>
      <c r="C11" s="370">
        <v>2</v>
      </c>
      <c r="D11" s="149"/>
      <c r="E11" s="610" t="s">
        <v>25</v>
      </c>
      <c r="F11" s="611"/>
      <c r="G11" s="610" t="s">
        <v>25</v>
      </c>
      <c r="H11" s="1"/>
      <c r="I11" s="612">
        <v>2</v>
      </c>
      <c r="J11" s="620"/>
      <c r="K11" s="612">
        <v>6</v>
      </c>
      <c r="L11" s="303"/>
      <c r="M11" s="625">
        <v>12.6</v>
      </c>
      <c r="N11" s="149"/>
      <c r="O11" s="625">
        <v>40.299999999999997</v>
      </c>
      <c r="P11" s="149"/>
      <c r="Q11" s="629">
        <v>4113</v>
      </c>
      <c r="R11" s="149"/>
      <c r="S11" s="629">
        <v>3269</v>
      </c>
      <c r="T11" s="439"/>
      <c r="U11" s="625">
        <v>79.5</v>
      </c>
      <c r="V11" s="149"/>
      <c r="W11" s="629">
        <v>366</v>
      </c>
      <c r="X11" s="149"/>
      <c r="Z11" s="304"/>
      <c r="AA11" s="304"/>
      <c r="AB11" s="305"/>
      <c r="AC11" s="305"/>
      <c r="AD11" s="305"/>
      <c r="AE11" s="305"/>
      <c r="AF11" s="304"/>
      <c r="AG11" s="304"/>
      <c r="AH11" s="305"/>
    </row>
    <row r="12" spans="1:34" ht="11.25" customHeight="1">
      <c r="A12" s="302" t="s">
        <v>13</v>
      </c>
      <c r="B12" s="1"/>
      <c r="C12" s="370">
        <v>4</v>
      </c>
      <c r="D12" s="149"/>
      <c r="E12" s="610" t="s">
        <v>25</v>
      </c>
      <c r="F12" s="611"/>
      <c r="G12" s="610" t="s">
        <v>25</v>
      </c>
      <c r="H12" s="1"/>
      <c r="I12" s="612">
        <v>4</v>
      </c>
      <c r="J12" s="620"/>
      <c r="K12" s="612">
        <v>5</v>
      </c>
      <c r="L12" s="303"/>
      <c r="M12" s="625">
        <v>11.7</v>
      </c>
      <c r="N12" s="149"/>
      <c r="O12" s="625">
        <v>30.6</v>
      </c>
      <c r="P12" s="149"/>
      <c r="Q12" s="629">
        <v>3897</v>
      </c>
      <c r="R12" s="149"/>
      <c r="S12" s="629">
        <v>3050</v>
      </c>
      <c r="T12" s="439"/>
      <c r="U12" s="625">
        <v>78.3</v>
      </c>
      <c r="V12" s="149"/>
      <c r="W12" s="629">
        <v>240</v>
      </c>
      <c r="X12" s="149"/>
      <c r="Z12" s="304"/>
      <c r="AA12" s="304"/>
      <c r="AB12" s="305"/>
      <c r="AC12" s="305"/>
      <c r="AD12" s="305"/>
      <c r="AE12" s="305"/>
      <c r="AF12" s="304"/>
      <c r="AG12" s="304"/>
      <c r="AH12" s="305"/>
    </row>
    <row r="13" spans="1:34" ht="11.25" customHeight="1">
      <c r="A13" s="302" t="s">
        <v>14</v>
      </c>
      <c r="B13" s="1"/>
      <c r="C13" s="370">
        <v>2</v>
      </c>
      <c r="D13" s="149"/>
      <c r="E13" s="610" t="s">
        <v>25</v>
      </c>
      <c r="F13" s="611"/>
      <c r="G13" s="610" t="s">
        <v>25</v>
      </c>
      <c r="H13" s="1"/>
      <c r="I13" s="612">
        <v>2</v>
      </c>
      <c r="J13" s="620"/>
      <c r="K13" s="612">
        <v>3</v>
      </c>
      <c r="L13" s="303"/>
      <c r="M13" s="625">
        <v>7.9</v>
      </c>
      <c r="N13" s="149"/>
      <c r="O13" s="625">
        <v>20.3</v>
      </c>
      <c r="P13" s="149"/>
      <c r="Q13" s="629">
        <v>2692</v>
      </c>
      <c r="R13" s="149"/>
      <c r="S13" s="629">
        <v>2420</v>
      </c>
      <c r="T13" s="439"/>
      <c r="U13" s="625">
        <v>89.9</v>
      </c>
      <c r="V13" s="149"/>
      <c r="W13" s="629">
        <v>109</v>
      </c>
      <c r="X13" s="149"/>
      <c r="Z13" s="304"/>
      <c r="AA13" s="304"/>
      <c r="AB13" s="305"/>
      <c r="AC13" s="305"/>
      <c r="AD13" s="305"/>
      <c r="AE13" s="305"/>
      <c r="AF13" s="304"/>
      <c r="AG13" s="304"/>
      <c r="AH13" s="305"/>
    </row>
    <row r="14" spans="1:34" ht="11.25" customHeight="1">
      <c r="A14" s="302" t="s">
        <v>15</v>
      </c>
      <c r="B14" s="1"/>
      <c r="C14" s="370">
        <v>5</v>
      </c>
      <c r="D14" s="149"/>
      <c r="E14" s="610" t="s">
        <v>25</v>
      </c>
      <c r="F14" s="611"/>
      <c r="G14" s="610" t="s">
        <v>25</v>
      </c>
      <c r="H14" s="1"/>
      <c r="I14" s="612">
        <v>5</v>
      </c>
      <c r="J14" s="620"/>
      <c r="K14" s="612">
        <v>5</v>
      </c>
      <c r="L14" s="303"/>
      <c r="M14" s="625">
        <v>30.2</v>
      </c>
      <c r="N14" s="149"/>
      <c r="O14" s="625">
        <v>29.8</v>
      </c>
      <c r="P14" s="149"/>
      <c r="Q14" s="629">
        <v>10026</v>
      </c>
      <c r="R14" s="149"/>
      <c r="S14" s="629">
        <v>8506</v>
      </c>
      <c r="T14" s="439"/>
      <c r="U14" s="625">
        <v>84.8</v>
      </c>
      <c r="V14" s="149"/>
      <c r="W14" s="629">
        <v>246</v>
      </c>
      <c r="X14" s="149"/>
      <c r="Z14" s="304"/>
      <c r="AA14" s="304"/>
      <c r="AB14" s="305"/>
      <c r="AC14" s="305"/>
      <c r="AD14" s="305"/>
      <c r="AE14" s="305"/>
      <c r="AF14" s="304"/>
      <c r="AG14" s="304"/>
      <c r="AH14" s="305"/>
    </row>
    <row r="15" spans="1:34" ht="11.25" customHeight="1">
      <c r="A15" s="302" t="s">
        <v>16</v>
      </c>
      <c r="B15" s="1"/>
      <c r="C15" s="370">
        <v>7</v>
      </c>
      <c r="D15" s="149"/>
      <c r="E15" s="610" t="s">
        <v>25</v>
      </c>
      <c r="F15" s="611"/>
      <c r="G15" s="610" t="s">
        <v>25</v>
      </c>
      <c r="H15" s="1"/>
      <c r="I15" s="612">
        <v>7</v>
      </c>
      <c r="J15" s="620"/>
      <c r="K15" s="612">
        <v>10</v>
      </c>
      <c r="L15" s="303"/>
      <c r="M15" s="625">
        <v>22.2</v>
      </c>
      <c r="N15" s="149"/>
      <c r="O15" s="625">
        <v>18</v>
      </c>
      <c r="P15" s="149"/>
      <c r="Q15" s="629">
        <v>7598</v>
      </c>
      <c r="R15" s="149"/>
      <c r="S15" s="629">
        <v>5663</v>
      </c>
      <c r="T15" s="439"/>
      <c r="U15" s="625">
        <v>74.5</v>
      </c>
      <c r="V15" s="149"/>
      <c r="W15" s="629">
        <v>325</v>
      </c>
      <c r="X15" s="149"/>
      <c r="Z15" s="304"/>
      <c r="AA15" s="304"/>
      <c r="AB15" s="305"/>
      <c r="AC15" s="305"/>
      <c r="AD15" s="305"/>
      <c r="AE15" s="305"/>
      <c r="AF15" s="304"/>
      <c r="AG15" s="304"/>
      <c r="AH15" s="305"/>
    </row>
    <row r="16" spans="1:34" ht="11.25" customHeight="1">
      <c r="A16" s="302" t="s">
        <v>17</v>
      </c>
      <c r="B16" s="1"/>
      <c r="C16" s="370">
        <v>5</v>
      </c>
      <c r="D16" s="149"/>
      <c r="E16" s="610" t="s">
        <v>25</v>
      </c>
      <c r="F16" s="611"/>
      <c r="G16" s="610" t="s">
        <v>25</v>
      </c>
      <c r="H16" s="1"/>
      <c r="I16" s="612">
        <v>5</v>
      </c>
      <c r="J16" s="620"/>
      <c r="K16" s="612">
        <v>5</v>
      </c>
      <c r="L16" s="303"/>
      <c r="M16" s="625">
        <v>20.2</v>
      </c>
      <c r="N16" s="149" t="s">
        <v>55</v>
      </c>
      <c r="O16" s="625">
        <v>28</v>
      </c>
      <c r="P16" s="149" t="s">
        <v>55</v>
      </c>
      <c r="Q16" s="629">
        <v>6759</v>
      </c>
      <c r="R16" s="149" t="s">
        <v>55</v>
      </c>
      <c r="S16" s="629">
        <v>5177</v>
      </c>
      <c r="T16" s="439"/>
      <c r="U16" s="625">
        <v>76.599999999999994</v>
      </c>
      <c r="V16" s="149" t="s">
        <v>55</v>
      </c>
      <c r="W16" s="629">
        <v>260</v>
      </c>
      <c r="X16" s="149" t="s">
        <v>55</v>
      </c>
      <c r="Z16" s="304"/>
      <c r="AA16" s="304"/>
      <c r="AB16" s="305"/>
      <c r="AC16" s="305"/>
      <c r="AD16" s="305"/>
      <c r="AE16" s="305"/>
      <c r="AF16" s="304"/>
      <c r="AG16" s="304"/>
      <c r="AH16" s="305"/>
    </row>
    <row r="17" spans="1:34" ht="11.25" customHeight="1">
      <c r="A17" s="302" t="s">
        <v>18</v>
      </c>
      <c r="B17" s="1"/>
      <c r="C17" s="370">
        <v>3</v>
      </c>
      <c r="D17" s="149"/>
      <c r="E17" s="610" t="s">
        <v>25</v>
      </c>
      <c r="F17" s="611"/>
      <c r="G17" s="610" t="s">
        <v>25</v>
      </c>
      <c r="H17" s="1"/>
      <c r="I17" s="612">
        <v>3</v>
      </c>
      <c r="J17" s="620"/>
      <c r="K17" s="612">
        <v>3</v>
      </c>
      <c r="L17" s="303"/>
      <c r="M17" s="625">
        <v>11</v>
      </c>
      <c r="N17" s="149"/>
      <c r="O17" s="625">
        <v>48.3</v>
      </c>
      <c r="P17" s="149"/>
      <c r="Q17" s="629">
        <v>3397</v>
      </c>
      <c r="R17" s="149"/>
      <c r="S17" s="629">
        <v>2558</v>
      </c>
      <c r="T17" s="439"/>
      <c r="U17" s="625">
        <v>75.3</v>
      </c>
      <c r="V17" s="149"/>
      <c r="W17" s="629">
        <v>63</v>
      </c>
      <c r="X17" s="149"/>
      <c r="Z17" s="304"/>
      <c r="AA17" s="304"/>
      <c r="AB17" s="305"/>
      <c r="AC17" s="305"/>
      <c r="AD17" s="305"/>
      <c r="AE17" s="305"/>
      <c r="AF17" s="304"/>
      <c r="AG17" s="304"/>
      <c r="AH17" s="305"/>
    </row>
    <row r="18" spans="1:34" ht="11.25" customHeight="1">
      <c r="A18" s="302" t="s">
        <v>37</v>
      </c>
      <c r="B18" s="1"/>
      <c r="C18" s="370">
        <v>8</v>
      </c>
      <c r="D18" s="149"/>
      <c r="E18" s="610" t="s">
        <v>25</v>
      </c>
      <c r="F18" s="611"/>
      <c r="G18" s="610" t="s">
        <v>25</v>
      </c>
      <c r="H18" s="1"/>
      <c r="I18" s="612">
        <v>8</v>
      </c>
      <c r="J18" s="620"/>
      <c r="K18" s="612">
        <v>9</v>
      </c>
      <c r="L18" s="303"/>
      <c r="M18" s="625">
        <v>30.7</v>
      </c>
      <c r="N18" s="149"/>
      <c r="O18" s="625">
        <v>23.2</v>
      </c>
      <c r="P18" s="149"/>
      <c r="Q18" s="629">
        <v>10438</v>
      </c>
      <c r="R18" s="149"/>
      <c r="S18" s="629">
        <v>6958</v>
      </c>
      <c r="T18" s="439"/>
      <c r="U18" s="625">
        <v>66.7</v>
      </c>
      <c r="V18" s="149"/>
      <c r="W18" s="629">
        <v>364</v>
      </c>
      <c r="X18" s="149"/>
      <c r="Z18" s="304"/>
      <c r="AA18" s="304"/>
      <c r="AB18" s="305"/>
      <c r="AC18" s="305"/>
      <c r="AD18" s="305"/>
      <c r="AE18" s="305"/>
      <c r="AF18" s="304"/>
      <c r="AG18" s="304"/>
      <c r="AH18" s="305"/>
    </row>
    <row r="19" spans="1:34" ht="11.25" customHeight="1">
      <c r="A19" s="302" t="s">
        <v>19</v>
      </c>
      <c r="B19" s="1"/>
      <c r="C19" s="370">
        <v>4</v>
      </c>
      <c r="D19" s="149"/>
      <c r="E19" s="610" t="s">
        <v>25</v>
      </c>
      <c r="F19" s="611"/>
      <c r="G19" s="610" t="s">
        <v>25</v>
      </c>
      <c r="H19" s="1"/>
      <c r="I19" s="612">
        <v>4</v>
      </c>
      <c r="J19" s="620"/>
      <c r="K19" s="612">
        <v>7</v>
      </c>
      <c r="L19" s="303"/>
      <c r="M19" s="625">
        <v>9.6999999999999993</v>
      </c>
      <c r="N19" s="149"/>
      <c r="O19" s="625">
        <v>39.4</v>
      </c>
      <c r="P19" s="149"/>
      <c r="Q19" s="629">
        <v>3186</v>
      </c>
      <c r="R19" s="149"/>
      <c r="S19" s="629">
        <v>2275</v>
      </c>
      <c r="T19" s="439"/>
      <c r="U19" s="625">
        <v>71.400000000000006</v>
      </c>
      <c r="V19" s="149"/>
      <c r="W19" s="629">
        <v>196</v>
      </c>
      <c r="X19" s="149"/>
      <c r="Z19" s="304"/>
      <c r="AA19" s="304"/>
      <c r="AB19" s="305"/>
      <c r="AC19" s="305"/>
      <c r="AD19" s="305"/>
      <c r="AE19" s="305"/>
      <c r="AF19" s="304"/>
      <c r="AG19" s="304"/>
      <c r="AH19" s="305"/>
    </row>
    <row r="20" spans="1:34" ht="11.25" customHeight="1">
      <c r="A20" s="302" t="s">
        <v>20</v>
      </c>
      <c r="B20" s="1"/>
      <c r="C20" s="370">
        <v>5</v>
      </c>
      <c r="D20" s="149" t="s">
        <v>753</v>
      </c>
      <c r="E20" s="612">
        <v>1</v>
      </c>
      <c r="F20" s="611"/>
      <c r="G20" s="610" t="s">
        <v>25</v>
      </c>
      <c r="H20" s="1"/>
      <c r="I20" s="612">
        <v>6</v>
      </c>
      <c r="J20" s="620"/>
      <c r="K20" s="612">
        <v>8</v>
      </c>
      <c r="L20" s="303"/>
      <c r="M20" s="625">
        <v>21.4</v>
      </c>
      <c r="N20" s="149" t="s">
        <v>55</v>
      </c>
      <c r="O20" s="625">
        <v>26.8</v>
      </c>
      <c r="P20" s="149" t="s">
        <v>55</v>
      </c>
      <c r="Q20" s="629">
        <v>7160</v>
      </c>
      <c r="R20" s="149" t="s">
        <v>55</v>
      </c>
      <c r="S20" s="629">
        <v>5469</v>
      </c>
      <c r="T20" s="149"/>
      <c r="U20" s="625">
        <v>76.400000000000006</v>
      </c>
      <c r="V20" s="149" t="s">
        <v>55</v>
      </c>
      <c r="W20" s="629">
        <v>458</v>
      </c>
      <c r="X20" s="149" t="s">
        <v>55</v>
      </c>
      <c r="Z20" s="304"/>
      <c r="AA20" s="304"/>
      <c r="AB20" s="305"/>
      <c r="AC20" s="305"/>
      <c r="AD20" s="305"/>
      <c r="AE20" s="305"/>
      <c r="AF20" s="304"/>
      <c r="AG20" s="304"/>
      <c r="AH20" s="305"/>
    </row>
    <row r="21" spans="1:34" ht="11.25" customHeight="1">
      <c r="A21" s="302" t="s">
        <v>21</v>
      </c>
      <c r="B21" s="1"/>
      <c r="C21" s="370">
        <v>5</v>
      </c>
      <c r="D21" s="149"/>
      <c r="E21" s="610" t="s">
        <v>25</v>
      </c>
      <c r="F21" s="611"/>
      <c r="G21" s="610" t="s">
        <v>25</v>
      </c>
      <c r="H21" s="1"/>
      <c r="I21" s="612">
        <v>5</v>
      </c>
      <c r="J21" s="620"/>
      <c r="K21" s="612">
        <v>7</v>
      </c>
      <c r="L21" s="303"/>
      <c r="M21" s="625">
        <v>19.2</v>
      </c>
      <c r="N21" s="149" t="s">
        <v>55</v>
      </c>
      <c r="O21" s="625">
        <v>19.100000000000001</v>
      </c>
      <c r="P21" s="149" t="s">
        <v>55</v>
      </c>
      <c r="Q21" s="629">
        <v>6640</v>
      </c>
      <c r="R21" s="149" t="s">
        <v>55</v>
      </c>
      <c r="S21" s="629">
        <v>4938</v>
      </c>
      <c r="T21" s="439"/>
      <c r="U21" s="625">
        <v>72</v>
      </c>
      <c r="V21" s="149" t="s">
        <v>55</v>
      </c>
      <c r="W21" s="629">
        <v>730</v>
      </c>
      <c r="X21" s="149" t="s">
        <v>55</v>
      </c>
      <c r="Z21" s="304"/>
      <c r="AA21" s="304"/>
      <c r="AB21" s="305"/>
      <c r="AC21" s="305"/>
      <c r="AD21" s="305"/>
      <c r="AE21" s="305"/>
      <c r="AF21" s="304"/>
      <c r="AG21" s="304"/>
      <c r="AH21" s="305"/>
    </row>
    <row r="22" spans="1:34" ht="11.25" customHeight="1">
      <c r="A22" s="302" t="s">
        <v>22</v>
      </c>
      <c r="B22" s="1"/>
      <c r="C22" s="370">
        <v>4</v>
      </c>
      <c r="D22" s="149"/>
      <c r="E22" s="610" t="s">
        <v>25</v>
      </c>
      <c r="F22" s="611"/>
      <c r="G22" s="610" t="s">
        <v>25</v>
      </c>
      <c r="H22" s="1"/>
      <c r="I22" s="612">
        <v>4</v>
      </c>
      <c r="J22" s="620"/>
      <c r="K22" s="612">
        <v>5</v>
      </c>
      <c r="L22" s="303"/>
      <c r="M22" s="625">
        <v>9.1</v>
      </c>
      <c r="N22" s="149"/>
      <c r="O22" s="625">
        <v>25.8</v>
      </c>
      <c r="P22" s="149"/>
      <c r="Q22" s="629">
        <v>3099</v>
      </c>
      <c r="R22" s="149"/>
      <c r="S22" s="629">
        <v>2776</v>
      </c>
      <c r="T22" s="439"/>
      <c r="U22" s="625">
        <v>89.6</v>
      </c>
      <c r="V22" s="149"/>
      <c r="W22" s="629">
        <v>184</v>
      </c>
      <c r="X22" s="149"/>
      <c r="Z22" s="304"/>
      <c r="AA22" s="304"/>
      <c r="AB22" s="305"/>
      <c r="AC22" s="305"/>
      <c r="AD22" s="305"/>
      <c r="AE22" s="305"/>
      <c r="AF22" s="304"/>
      <c r="AG22" s="304"/>
      <c r="AH22" s="305"/>
    </row>
    <row r="23" spans="1:34" ht="11.25" customHeight="1">
      <c r="A23" s="302" t="s">
        <v>23</v>
      </c>
      <c r="B23" s="1"/>
      <c r="C23" s="370">
        <v>4</v>
      </c>
      <c r="D23" s="149"/>
      <c r="E23" s="610" t="s">
        <v>25</v>
      </c>
      <c r="F23" s="611"/>
      <c r="G23" s="610" t="s">
        <v>25</v>
      </c>
      <c r="H23" s="1"/>
      <c r="I23" s="612">
        <v>4</v>
      </c>
      <c r="J23" s="620"/>
      <c r="K23" s="612">
        <v>5</v>
      </c>
      <c r="L23" s="303"/>
      <c r="M23" s="625">
        <v>12</v>
      </c>
      <c r="N23" s="149"/>
      <c r="O23" s="625">
        <v>29.6</v>
      </c>
      <c r="P23" s="149"/>
      <c r="Q23" s="629">
        <v>3919</v>
      </c>
      <c r="R23" s="149"/>
      <c r="S23" s="629">
        <v>2538</v>
      </c>
      <c r="T23" s="439"/>
      <c r="U23" s="625">
        <v>64.8</v>
      </c>
      <c r="V23" s="149"/>
      <c r="W23" s="629">
        <v>351</v>
      </c>
      <c r="X23" s="149"/>
      <c r="Z23" s="304"/>
      <c r="AA23" s="304"/>
      <c r="AB23" s="305"/>
      <c r="AC23" s="305"/>
      <c r="AD23" s="305"/>
      <c r="AE23" s="305"/>
      <c r="AF23" s="304"/>
      <c r="AG23" s="304"/>
      <c r="AH23" s="305"/>
    </row>
    <row r="24" spans="1:34" ht="11.25" customHeight="1">
      <c r="A24" s="302" t="s">
        <v>416</v>
      </c>
      <c r="B24" s="1"/>
      <c r="C24" s="370">
        <v>5</v>
      </c>
      <c r="D24" s="149"/>
      <c r="E24" s="612">
        <v>2</v>
      </c>
      <c r="F24" s="611"/>
      <c r="G24" s="610" t="s">
        <v>25</v>
      </c>
      <c r="H24" s="1"/>
      <c r="I24" s="612">
        <v>7</v>
      </c>
      <c r="J24" s="620"/>
      <c r="K24" s="612">
        <v>8</v>
      </c>
      <c r="L24" s="303"/>
      <c r="M24" s="625">
        <v>12.6</v>
      </c>
      <c r="N24" s="149"/>
      <c r="O24" s="625">
        <v>39</v>
      </c>
      <c r="P24" s="149"/>
      <c r="Q24" s="629">
        <v>4158</v>
      </c>
      <c r="R24" s="149"/>
      <c r="S24" s="629">
        <v>3352</v>
      </c>
      <c r="T24" s="439"/>
      <c r="U24" s="625">
        <v>80.599999999999994</v>
      </c>
      <c r="V24" s="149"/>
      <c r="W24" s="629">
        <v>330</v>
      </c>
      <c r="X24" s="149"/>
      <c r="Z24" s="304"/>
      <c r="AA24" s="304"/>
      <c r="AB24" s="305"/>
      <c r="AC24" s="305"/>
      <c r="AD24" s="305"/>
      <c r="AE24" s="305"/>
      <c r="AF24" s="304"/>
      <c r="AG24" s="304"/>
      <c r="AH24" s="305"/>
    </row>
    <row r="25" spans="1:34" ht="11.25" customHeight="1">
      <c r="A25" s="631" t="s">
        <v>26</v>
      </c>
      <c r="B25" s="1"/>
      <c r="C25" s="370">
        <v>7</v>
      </c>
      <c r="D25" s="149"/>
      <c r="E25" s="647" t="s">
        <v>25</v>
      </c>
      <c r="F25" s="611"/>
      <c r="G25" s="647" t="s">
        <v>25</v>
      </c>
      <c r="H25" s="1"/>
      <c r="I25" s="612">
        <v>7</v>
      </c>
      <c r="J25" s="620"/>
      <c r="K25" s="612">
        <v>8</v>
      </c>
      <c r="L25" s="303"/>
      <c r="M25" s="625">
        <v>31</v>
      </c>
      <c r="N25" s="149" t="s">
        <v>55</v>
      </c>
      <c r="O25" s="625">
        <v>32.9</v>
      </c>
      <c r="P25" s="149" t="s">
        <v>55</v>
      </c>
      <c r="Q25" s="629">
        <v>10400</v>
      </c>
      <c r="R25" s="149" t="s">
        <v>55</v>
      </c>
      <c r="S25" s="629">
        <v>8259</v>
      </c>
      <c r="T25" s="439"/>
      <c r="U25" s="625">
        <v>79.099999999999994</v>
      </c>
      <c r="V25" s="149" t="s">
        <v>55</v>
      </c>
      <c r="W25" s="629">
        <v>390</v>
      </c>
      <c r="X25" s="149" t="s">
        <v>55</v>
      </c>
      <c r="Z25" s="304"/>
      <c r="AA25" s="304"/>
      <c r="AB25" s="305"/>
      <c r="AC25" s="305"/>
      <c r="AD25" s="305"/>
      <c r="AE25" s="305"/>
      <c r="AF25" s="304"/>
      <c r="AG25" s="304"/>
      <c r="AH25" s="305"/>
    </row>
    <row r="26" spans="1:34" ht="11.25" customHeight="1">
      <c r="A26" s="395" t="s">
        <v>498</v>
      </c>
      <c r="B26" s="1"/>
      <c r="C26" s="565">
        <v>85</v>
      </c>
      <c r="D26" s="632" t="s">
        <v>753</v>
      </c>
      <c r="E26" s="613">
        <v>7</v>
      </c>
      <c r="F26" s="614"/>
      <c r="G26" s="615" t="s">
        <v>25</v>
      </c>
      <c r="H26" s="566"/>
      <c r="I26" s="613">
        <v>92</v>
      </c>
      <c r="J26" s="621"/>
      <c r="K26" s="613">
        <v>125</v>
      </c>
      <c r="L26" s="567"/>
      <c r="M26" s="626">
        <v>311.2</v>
      </c>
      <c r="N26" s="632" t="s">
        <v>55</v>
      </c>
      <c r="O26" s="626">
        <v>31.2</v>
      </c>
      <c r="P26" s="632" t="s">
        <v>55</v>
      </c>
      <c r="Q26" s="630">
        <v>104000</v>
      </c>
      <c r="R26" s="632" t="s">
        <v>55</v>
      </c>
      <c r="S26" s="630">
        <v>76789</v>
      </c>
      <c r="T26" s="568"/>
      <c r="U26" s="626">
        <v>73.900000000000006</v>
      </c>
      <c r="V26" s="632" t="s">
        <v>55</v>
      </c>
      <c r="W26" s="630">
        <v>5320</v>
      </c>
      <c r="X26" s="632" t="s">
        <v>55</v>
      </c>
      <c r="Z26" s="304"/>
      <c r="AA26" s="304"/>
      <c r="AB26" s="305"/>
      <c r="AC26" s="305"/>
      <c r="AD26" s="305"/>
      <c r="AE26" s="305"/>
      <c r="AF26" s="304"/>
      <c r="AG26" s="304"/>
      <c r="AH26" s="305"/>
    </row>
    <row r="27" spans="1:34" ht="11.25" customHeight="1">
      <c r="A27" s="302" t="s">
        <v>28</v>
      </c>
      <c r="B27" s="1"/>
      <c r="C27" s="371">
        <v>1</v>
      </c>
      <c r="D27" s="300"/>
      <c r="E27" s="616" t="s">
        <v>25</v>
      </c>
      <c r="F27" s="617"/>
      <c r="G27" s="616" t="s">
        <v>25</v>
      </c>
      <c r="H27" s="309"/>
      <c r="I27" s="622">
        <v>1</v>
      </c>
      <c r="J27" s="623"/>
      <c r="K27" s="622">
        <v>1</v>
      </c>
      <c r="L27" s="308"/>
      <c r="M27" s="627" t="s">
        <v>36</v>
      </c>
      <c r="N27" s="300"/>
      <c r="O27" s="627" t="s">
        <v>36</v>
      </c>
      <c r="P27" s="300"/>
      <c r="Q27" s="627" t="s">
        <v>36</v>
      </c>
      <c r="R27" s="300"/>
      <c r="S27" s="627" t="s">
        <v>36</v>
      </c>
      <c r="T27" s="441"/>
      <c r="U27" s="627" t="s">
        <v>36</v>
      </c>
      <c r="V27" s="300"/>
      <c r="W27" s="627" t="s">
        <v>36</v>
      </c>
      <c r="X27" s="300"/>
      <c r="Z27" s="304"/>
    </row>
    <row r="28" spans="1:34" ht="11.25" customHeight="1">
      <c r="A28" s="395" t="s">
        <v>499</v>
      </c>
      <c r="B28" s="1"/>
      <c r="C28" s="369">
        <v>86</v>
      </c>
      <c r="D28" s="149"/>
      <c r="E28" s="618">
        <v>7</v>
      </c>
      <c r="F28" s="619"/>
      <c r="G28" s="610" t="s">
        <v>25</v>
      </c>
      <c r="H28" s="307"/>
      <c r="I28" s="618">
        <v>93</v>
      </c>
      <c r="J28" s="624"/>
      <c r="K28" s="618">
        <v>126</v>
      </c>
      <c r="L28" s="306"/>
      <c r="M28" s="628" t="s">
        <v>36</v>
      </c>
      <c r="N28" s="416"/>
      <c r="O28" s="628" t="s">
        <v>36</v>
      </c>
      <c r="P28" s="416"/>
      <c r="Q28" s="628" t="s">
        <v>36</v>
      </c>
      <c r="R28" s="416"/>
      <c r="S28" s="628" t="s">
        <v>36</v>
      </c>
      <c r="T28" s="440"/>
      <c r="U28" s="628" t="s">
        <v>36</v>
      </c>
      <c r="V28" s="416"/>
      <c r="W28" s="628" t="s">
        <v>36</v>
      </c>
      <c r="X28" s="416"/>
      <c r="Z28" s="304"/>
    </row>
    <row r="29" spans="1:34" s="132" customFormat="1" ht="11.25" customHeight="1">
      <c r="A29" s="719" t="s">
        <v>400</v>
      </c>
      <c r="B29" s="719"/>
      <c r="C29" s="719"/>
      <c r="D29" s="719"/>
      <c r="E29" s="719"/>
      <c r="F29" s="719"/>
      <c r="G29" s="719"/>
      <c r="H29" s="719"/>
      <c r="I29" s="719"/>
      <c r="J29" s="719"/>
      <c r="K29" s="719"/>
      <c r="L29" s="719"/>
      <c r="M29" s="719"/>
      <c r="N29" s="719"/>
      <c r="O29" s="719"/>
      <c r="P29" s="719"/>
      <c r="Q29" s="719"/>
      <c r="R29" s="719"/>
      <c r="S29" s="719"/>
      <c r="T29" s="719"/>
      <c r="U29" s="719"/>
      <c r="V29" s="719"/>
      <c r="W29" s="719"/>
      <c r="X29" s="719"/>
    </row>
    <row r="30" spans="1:34" ht="11.25" customHeight="1">
      <c r="A30" s="694" t="s">
        <v>821</v>
      </c>
      <c r="B30" s="699"/>
      <c r="C30" s="699"/>
      <c r="D30" s="699"/>
      <c r="E30" s="699"/>
      <c r="F30" s="699"/>
      <c r="G30" s="699"/>
      <c r="H30" s="699"/>
      <c r="I30" s="699"/>
      <c r="J30" s="699"/>
      <c r="K30" s="699"/>
      <c r="L30" s="699"/>
      <c r="M30" s="699"/>
      <c r="N30" s="699"/>
      <c r="O30" s="699"/>
      <c r="P30" s="699"/>
      <c r="Q30" s="699"/>
      <c r="R30" s="699"/>
      <c r="S30" s="699"/>
      <c r="T30" s="699"/>
      <c r="U30" s="699"/>
      <c r="V30" s="699"/>
      <c r="W30" s="699"/>
      <c r="X30" s="699"/>
    </row>
    <row r="31" spans="1:34" ht="11.25" customHeight="1">
      <c r="A31" s="694" t="s">
        <v>407</v>
      </c>
      <c r="B31" s="699"/>
      <c r="C31" s="699"/>
      <c r="D31" s="699"/>
      <c r="E31" s="699"/>
      <c r="F31" s="699"/>
      <c r="G31" s="699"/>
      <c r="H31" s="699"/>
      <c r="I31" s="699"/>
      <c r="J31" s="699"/>
      <c r="K31" s="699"/>
      <c r="L31" s="699"/>
      <c r="M31" s="699"/>
      <c r="N31" s="699"/>
      <c r="O31" s="699"/>
      <c r="P31" s="699"/>
      <c r="Q31" s="699"/>
      <c r="R31" s="699"/>
      <c r="S31" s="699"/>
      <c r="T31" s="699"/>
      <c r="U31" s="699"/>
      <c r="V31" s="699"/>
      <c r="W31" s="699"/>
      <c r="X31" s="699"/>
    </row>
    <row r="32" spans="1:34" ht="11.25" customHeight="1">
      <c r="A32" s="694" t="s">
        <v>521</v>
      </c>
      <c r="B32" s="699"/>
      <c r="C32" s="699"/>
      <c r="D32" s="699"/>
      <c r="E32" s="699"/>
      <c r="F32" s="699"/>
      <c r="G32" s="699"/>
      <c r="H32" s="699"/>
      <c r="I32" s="699"/>
      <c r="J32" s="699"/>
      <c r="K32" s="699"/>
      <c r="L32" s="699"/>
      <c r="M32" s="699"/>
      <c r="N32" s="699"/>
      <c r="O32" s="699"/>
      <c r="P32" s="699"/>
      <c r="Q32" s="699"/>
      <c r="R32" s="699"/>
      <c r="S32" s="699"/>
      <c r="T32" s="699"/>
      <c r="U32" s="699"/>
      <c r="V32" s="699"/>
      <c r="W32" s="699"/>
      <c r="X32" s="699"/>
    </row>
    <row r="33" spans="1:24" ht="11.25" customHeight="1">
      <c r="A33" s="694" t="s">
        <v>522</v>
      </c>
      <c r="B33" s="699"/>
      <c r="C33" s="699"/>
      <c r="D33" s="699"/>
      <c r="E33" s="699"/>
      <c r="F33" s="699"/>
      <c r="G33" s="699"/>
      <c r="H33" s="699"/>
      <c r="I33" s="699"/>
      <c r="J33" s="699"/>
      <c r="K33" s="699"/>
      <c r="L33" s="699"/>
      <c r="M33" s="699"/>
      <c r="N33" s="699"/>
      <c r="O33" s="699"/>
      <c r="P33" s="699"/>
      <c r="Q33" s="699"/>
      <c r="R33" s="699"/>
      <c r="S33" s="699"/>
      <c r="T33" s="699"/>
      <c r="U33" s="699"/>
      <c r="V33" s="699"/>
      <c r="W33" s="699"/>
      <c r="X33" s="699"/>
    </row>
    <row r="34" spans="1:24" ht="11.25" customHeight="1">
      <c r="A34" s="694" t="s">
        <v>361</v>
      </c>
      <c r="B34" s="699"/>
      <c r="C34" s="699"/>
      <c r="D34" s="699"/>
      <c r="E34" s="699"/>
      <c r="F34" s="699"/>
      <c r="G34" s="699"/>
      <c r="H34" s="699"/>
      <c r="I34" s="699"/>
      <c r="J34" s="699"/>
      <c r="K34" s="699"/>
      <c r="L34" s="699"/>
      <c r="M34" s="699"/>
      <c r="N34" s="699"/>
      <c r="O34" s="699"/>
      <c r="P34" s="699"/>
      <c r="Q34" s="699"/>
      <c r="R34" s="699"/>
      <c r="S34" s="699"/>
      <c r="T34" s="699"/>
      <c r="U34" s="699"/>
      <c r="V34" s="699"/>
      <c r="W34" s="699"/>
      <c r="X34" s="699"/>
    </row>
    <row r="35" spans="1:24" ht="11.25" customHeight="1">
      <c r="A35" s="694" t="s">
        <v>362</v>
      </c>
      <c r="B35" s="699"/>
      <c r="C35" s="699"/>
      <c r="D35" s="699"/>
      <c r="E35" s="699"/>
      <c r="F35" s="699"/>
      <c r="G35" s="699"/>
      <c r="H35" s="699"/>
      <c r="I35" s="699"/>
      <c r="J35" s="699"/>
      <c r="K35" s="699"/>
      <c r="L35" s="699"/>
      <c r="M35" s="699"/>
      <c r="N35" s="699"/>
      <c r="O35" s="699"/>
      <c r="P35" s="699"/>
      <c r="Q35" s="699"/>
      <c r="R35" s="699"/>
      <c r="S35" s="699"/>
      <c r="T35" s="699"/>
      <c r="U35" s="699"/>
      <c r="V35" s="699"/>
      <c r="W35" s="699"/>
      <c r="X35" s="699"/>
    </row>
    <row r="36" spans="1:24" ht="11.25" customHeight="1">
      <c r="A36" s="694" t="s">
        <v>549</v>
      </c>
      <c r="B36" s="699"/>
      <c r="C36" s="699"/>
      <c r="D36" s="699"/>
      <c r="E36" s="699"/>
      <c r="F36" s="699"/>
      <c r="G36" s="699"/>
      <c r="H36" s="699"/>
      <c r="I36" s="699"/>
      <c r="J36" s="699"/>
      <c r="K36" s="699"/>
      <c r="L36" s="699"/>
      <c r="M36" s="699"/>
      <c r="N36" s="699"/>
      <c r="O36" s="699"/>
      <c r="P36" s="699"/>
      <c r="Q36" s="699"/>
      <c r="R36" s="699"/>
      <c r="S36" s="699"/>
      <c r="T36" s="699"/>
      <c r="U36" s="699"/>
      <c r="V36" s="699"/>
      <c r="W36" s="699"/>
      <c r="X36" s="699"/>
    </row>
    <row r="37" spans="1:24" ht="11.25" customHeight="1">
      <c r="A37" s="694" t="s">
        <v>363</v>
      </c>
      <c r="B37" s="699"/>
      <c r="C37" s="699"/>
      <c r="D37" s="699"/>
      <c r="E37" s="699"/>
      <c r="F37" s="699"/>
      <c r="G37" s="699"/>
      <c r="H37" s="699"/>
      <c r="I37" s="699"/>
      <c r="J37" s="699"/>
      <c r="K37" s="699"/>
      <c r="L37" s="699"/>
      <c r="M37" s="699"/>
      <c r="N37" s="699"/>
      <c r="O37" s="699"/>
      <c r="P37" s="699"/>
      <c r="Q37" s="699"/>
      <c r="R37" s="699"/>
      <c r="S37" s="699"/>
      <c r="T37" s="699"/>
      <c r="U37" s="699"/>
      <c r="V37" s="699"/>
      <c r="W37" s="699"/>
      <c r="X37" s="699"/>
    </row>
    <row r="38" spans="1:24" ht="11.25" customHeight="1">
      <c r="A38" s="694" t="s">
        <v>364</v>
      </c>
      <c r="B38" s="699"/>
      <c r="C38" s="699"/>
      <c r="D38" s="699"/>
      <c r="E38" s="699"/>
      <c r="F38" s="699"/>
      <c r="G38" s="699"/>
      <c r="H38" s="699"/>
      <c r="I38" s="699"/>
      <c r="J38" s="699"/>
      <c r="K38" s="699"/>
      <c r="L38" s="699"/>
      <c r="M38" s="699"/>
      <c r="N38" s="699"/>
      <c r="O38" s="699"/>
      <c r="P38" s="699"/>
      <c r="Q38" s="699"/>
      <c r="R38" s="699"/>
      <c r="S38" s="699"/>
      <c r="T38" s="699"/>
      <c r="U38" s="699"/>
      <c r="V38" s="699"/>
      <c r="W38" s="699"/>
      <c r="X38" s="699"/>
    </row>
    <row r="39" spans="1:24" ht="11.25" customHeight="1">
      <c r="A39" s="694" t="s">
        <v>358</v>
      </c>
      <c r="B39" s="699"/>
      <c r="C39" s="699"/>
      <c r="D39" s="699"/>
      <c r="E39" s="699"/>
      <c r="F39" s="699"/>
      <c r="G39" s="699"/>
      <c r="H39" s="699"/>
      <c r="I39" s="699"/>
      <c r="J39" s="699"/>
      <c r="K39" s="699"/>
      <c r="L39" s="699"/>
      <c r="M39" s="699"/>
      <c r="N39" s="699"/>
      <c r="O39" s="699"/>
      <c r="P39" s="699"/>
      <c r="Q39" s="699"/>
      <c r="R39" s="699"/>
      <c r="S39" s="699"/>
      <c r="T39" s="699"/>
      <c r="U39" s="699"/>
      <c r="V39" s="699"/>
      <c r="W39" s="699"/>
      <c r="X39" s="699"/>
    </row>
    <row r="40" spans="1:24" ht="11.25" customHeight="1"/>
    <row r="41" spans="1:24">
      <c r="C41" s="305"/>
      <c r="E41" s="305"/>
      <c r="F41" s="305"/>
      <c r="G41" s="305"/>
      <c r="H41" s="305"/>
      <c r="I41" s="305"/>
      <c r="J41" s="305"/>
      <c r="K41" s="305"/>
      <c r="L41" s="305"/>
      <c r="M41" s="305"/>
      <c r="N41" s="305"/>
      <c r="O41" s="305"/>
      <c r="P41" s="305"/>
      <c r="Q41" s="305"/>
      <c r="R41" s="305"/>
      <c r="S41" s="305"/>
      <c r="T41" s="305"/>
      <c r="U41" s="305"/>
      <c r="V41" s="305"/>
      <c r="W41" s="305"/>
    </row>
    <row r="42" spans="1:24">
      <c r="A42" s="99"/>
      <c r="B42" s="132"/>
      <c r="C42" s="132"/>
      <c r="D42" s="132"/>
      <c r="E42" s="132"/>
      <c r="F42" s="132"/>
      <c r="G42" s="132"/>
      <c r="H42" s="132"/>
      <c r="I42" s="132"/>
      <c r="J42" s="132"/>
      <c r="K42" s="132"/>
      <c r="L42" s="132"/>
      <c r="M42" s="132"/>
      <c r="N42" s="132"/>
      <c r="O42" s="132"/>
      <c r="P42" s="132"/>
      <c r="Q42" s="132"/>
      <c r="R42" s="132"/>
      <c r="S42" s="132"/>
      <c r="T42" s="132"/>
      <c r="U42" s="132"/>
      <c r="V42" s="132"/>
      <c r="W42" s="132"/>
      <c r="X42" s="132"/>
    </row>
    <row r="43" spans="1:24">
      <c r="U43" t="s">
        <v>128</v>
      </c>
    </row>
  </sheetData>
  <mergeCells count="17">
    <mergeCell ref="A33:X33"/>
    <mergeCell ref="A35:X35"/>
    <mergeCell ref="C7:D7"/>
    <mergeCell ref="A29:X29"/>
    <mergeCell ref="A30:X30"/>
    <mergeCell ref="A31:X31"/>
    <mergeCell ref="A32:X32"/>
    <mergeCell ref="A1:X1"/>
    <mergeCell ref="A2:X2"/>
    <mergeCell ref="A3:X3"/>
    <mergeCell ref="B5:I5"/>
    <mergeCell ref="C6:G6"/>
    <mergeCell ref="A36:X36"/>
    <mergeCell ref="A37:X37"/>
    <mergeCell ref="A38:X38"/>
    <mergeCell ref="A39:X39"/>
    <mergeCell ref="A34:X34"/>
  </mergeCells>
  <pageMargins left="0.5" right="0.5" top="0.75" bottom="0.5" header="0.3" footer="0.3"/>
  <pageSetup orientation="landscape"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63"/>
  <sheetViews>
    <sheetView topLeftCell="A9" zoomScaleNormal="100" workbookViewId="0">
      <selection activeCell="A22" sqref="A22"/>
    </sheetView>
  </sheetViews>
  <sheetFormatPr defaultRowHeight="14"/>
  <cols>
    <col min="1" max="1" width="33.7265625" customWidth="1"/>
    <col min="2" max="2" width="1.7265625" customWidth="1"/>
    <col min="4" max="4" width="1.7265625" customWidth="1"/>
    <col min="6" max="6" width="1.7265625" customWidth="1"/>
    <col min="8" max="8" width="1.7265625" customWidth="1"/>
  </cols>
  <sheetData>
    <row r="1" spans="1:9" ht="11.25" customHeight="1">
      <c r="A1" s="724" t="s">
        <v>78</v>
      </c>
      <c r="B1" s="724"/>
      <c r="C1" s="724"/>
      <c r="D1" s="724"/>
      <c r="E1" s="724"/>
      <c r="F1" s="724"/>
      <c r="G1" s="724"/>
      <c r="H1" s="724"/>
      <c r="I1" s="724"/>
    </row>
    <row r="2" spans="1:9" ht="11.25" customHeight="1">
      <c r="A2" s="724" t="s">
        <v>79</v>
      </c>
      <c r="B2" s="724"/>
      <c r="C2" s="724"/>
      <c r="D2" s="724"/>
      <c r="E2" s="724"/>
      <c r="F2" s="724"/>
      <c r="G2" s="724"/>
      <c r="H2" s="724"/>
      <c r="I2" s="724"/>
    </row>
    <row r="3" spans="1:9" ht="11.25" customHeight="1">
      <c r="A3" s="724"/>
      <c r="B3" s="724"/>
      <c r="C3" s="724"/>
      <c r="D3" s="724"/>
      <c r="E3" s="724"/>
      <c r="F3" s="724"/>
      <c r="G3" s="724"/>
      <c r="H3" s="724"/>
      <c r="I3" s="724"/>
    </row>
    <row r="4" spans="1:9" ht="11.25" customHeight="1">
      <c r="A4" s="724" t="s">
        <v>80</v>
      </c>
      <c r="B4" s="724"/>
      <c r="C4" s="724"/>
      <c r="D4" s="724"/>
      <c r="E4" s="724"/>
      <c r="F4" s="724"/>
      <c r="G4" s="724"/>
      <c r="H4" s="724"/>
      <c r="I4" s="724"/>
    </row>
    <row r="5" spans="1:9" ht="11.25" customHeight="1">
      <c r="A5" s="725"/>
      <c r="B5" s="725"/>
      <c r="C5" s="725"/>
      <c r="D5" s="725"/>
      <c r="E5" s="725"/>
      <c r="F5" s="725"/>
      <c r="G5" s="725"/>
      <c r="H5" s="725"/>
      <c r="I5" s="725"/>
    </row>
    <row r="6" spans="1:9" ht="11.25" customHeight="1">
      <c r="A6" s="237"/>
      <c r="B6" s="237"/>
      <c r="C6" s="721" t="s">
        <v>533</v>
      </c>
      <c r="D6" s="721"/>
      <c r="E6" s="721"/>
      <c r="F6" s="237"/>
      <c r="G6" s="721" t="s">
        <v>724</v>
      </c>
      <c r="H6" s="721"/>
      <c r="I6" s="721"/>
    </row>
    <row r="7" spans="1:9" ht="11.25" customHeight="1">
      <c r="A7" s="238" t="s">
        <v>81</v>
      </c>
      <c r="B7" s="238"/>
      <c r="C7" s="310" t="s">
        <v>82</v>
      </c>
      <c r="D7" s="310"/>
      <c r="E7" s="310" t="s">
        <v>83</v>
      </c>
      <c r="F7" s="238"/>
      <c r="G7" s="310" t="s">
        <v>82</v>
      </c>
      <c r="H7" s="310"/>
      <c r="I7" s="310" t="s">
        <v>83</v>
      </c>
    </row>
    <row r="8" spans="1:9" ht="11.25" customHeight="1">
      <c r="A8" s="239" t="s">
        <v>84</v>
      </c>
      <c r="B8" s="7"/>
      <c r="C8" s="7"/>
      <c r="D8" s="7"/>
      <c r="E8" s="7"/>
      <c r="F8" s="7"/>
      <c r="G8" s="7"/>
      <c r="H8" s="7"/>
      <c r="I8" s="7"/>
    </row>
    <row r="9" spans="1:9" ht="11.25" customHeight="1">
      <c r="A9" s="240" t="s">
        <v>85</v>
      </c>
      <c r="B9" s="7"/>
      <c r="C9" s="116">
        <v>108000</v>
      </c>
      <c r="D9" s="116"/>
      <c r="E9" s="116">
        <v>6060</v>
      </c>
      <c r="F9" s="496"/>
      <c r="G9" s="116">
        <v>107000</v>
      </c>
      <c r="H9" s="116"/>
      <c r="I9" s="311">
        <v>7110</v>
      </c>
    </row>
    <row r="10" spans="1:9" ht="11.25" customHeight="1">
      <c r="A10" s="240" t="s">
        <v>86</v>
      </c>
      <c r="B10" s="7"/>
      <c r="C10" s="116">
        <v>5300</v>
      </c>
      <c r="D10" s="116"/>
      <c r="E10" s="116">
        <v>40</v>
      </c>
      <c r="F10" s="496"/>
      <c r="G10" s="116">
        <v>4800</v>
      </c>
      <c r="H10" s="116"/>
      <c r="I10" s="116">
        <v>72</v>
      </c>
    </row>
    <row r="11" spans="1:9" ht="11.25" customHeight="1">
      <c r="A11" s="240" t="s">
        <v>773</v>
      </c>
      <c r="B11" s="7"/>
      <c r="C11" s="311">
        <v>8</v>
      </c>
      <c r="D11" s="116"/>
      <c r="E11" s="311">
        <v>262</v>
      </c>
      <c r="F11" s="215"/>
      <c r="G11" s="311">
        <v>33</v>
      </c>
      <c r="H11" s="116"/>
      <c r="I11" s="311">
        <v>258</v>
      </c>
    </row>
    <row r="12" spans="1:9" ht="11.25" customHeight="1">
      <c r="A12" s="240" t="s">
        <v>366</v>
      </c>
      <c r="B12" s="7"/>
      <c r="C12" s="442">
        <v>55</v>
      </c>
      <c r="D12" s="116"/>
      <c r="E12" s="116">
        <v>14</v>
      </c>
      <c r="F12" s="311"/>
      <c r="G12" s="442">
        <v>74</v>
      </c>
      <c r="H12" s="116"/>
      <c r="I12" s="116">
        <v>29</v>
      </c>
    </row>
    <row r="13" spans="1:9" ht="11.25" customHeight="1">
      <c r="A13" s="240" t="s">
        <v>87</v>
      </c>
      <c r="B13" s="7"/>
      <c r="C13" s="443">
        <v>98</v>
      </c>
      <c r="D13" s="116"/>
      <c r="E13" s="311">
        <v>34</v>
      </c>
      <c r="F13" s="215"/>
      <c r="G13" s="443">
        <v>101</v>
      </c>
      <c r="H13" s="116"/>
      <c r="I13" s="311">
        <v>34</v>
      </c>
    </row>
    <row r="14" spans="1:9" ht="11.25" customHeight="1">
      <c r="A14" s="239" t="s">
        <v>88</v>
      </c>
      <c r="B14" s="7"/>
      <c r="C14" s="116"/>
      <c r="D14" s="116"/>
      <c r="E14" s="116"/>
      <c r="F14" s="311"/>
      <c r="G14" s="116"/>
      <c r="H14" s="116"/>
      <c r="I14" s="116"/>
    </row>
    <row r="15" spans="1:9" ht="11.25" customHeight="1">
      <c r="A15" s="240" t="s">
        <v>89</v>
      </c>
      <c r="B15" s="7"/>
      <c r="C15" s="116">
        <v>4010</v>
      </c>
      <c r="D15" s="116"/>
      <c r="E15" s="442">
        <v>20</v>
      </c>
      <c r="F15" s="311"/>
      <c r="G15" s="116">
        <v>4110</v>
      </c>
      <c r="H15" s="116"/>
      <c r="I15" s="422" t="s">
        <v>25</v>
      </c>
    </row>
    <row r="16" spans="1:9" ht="11.25" customHeight="1">
      <c r="A16" s="240" t="s">
        <v>90</v>
      </c>
      <c r="B16" s="7"/>
      <c r="C16" s="116">
        <v>2350</v>
      </c>
      <c r="D16" s="116"/>
      <c r="E16" s="116">
        <v>52</v>
      </c>
      <c r="F16" s="215"/>
      <c r="G16" s="116">
        <v>2570</v>
      </c>
      <c r="H16" s="116"/>
      <c r="I16" s="116">
        <v>59</v>
      </c>
    </row>
    <row r="17" spans="1:9" ht="11.25" customHeight="1">
      <c r="A17" s="240" t="s">
        <v>392</v>
      </c>
      <c r="B17" s="7"/>
      <c r="C17" s="311">
        <v>879</v>
      </c>
      <c r="D17" s="116"/>
      <c r="E17" s="422" t="s">
        <v>25</v>
      </c>
      <c r="F17" s="311"/>
      <c r="G17" s="311">
        <v>942</v>
      </c>
      <c r="H17" s="116"/>
      <c r="I17" s="422" t="s">
        <v>25</v>
      </c>
    </row>
    <row r="18" spans="1:9" ht="11.25" customHeight="1">
      <c r="A18" s="239" t="s">
        <v>92</v>
      </c>
      <c r="B18" s="7"/>
      <c r="C18" s="116"/>
      <c r="D18" s="116"/>
      <c r="E18" s="117"/>
      <c r="F18" s="311"/>
      <c r="G18" s="116"/>
      <c r="H18" s="116"/>
      <c r="I18" s="117"/>
    </row>
    <row r="19" spans="1:9" ht="11.25" customHeight="1">
      <c r="A19" s="240" t="s">
        <v>93</v>
      </c>
      <c r="B19" s="7"/>
      <c r="C19" s="116">
        <v>883</v>
      </c>
      <c r="D19" s="116"/>
      <c r="E19" s="422" t="s">
        <v>25</v>
      </c>
      <c r="F19" s="311"/>
      <c r="G19" s="116">
        <v>831</v>
      </c>
      <c r="H19" s="116"/>
      <c r="I19" s="422" t="s">
        <v>25</v>
      </c>
    </row>
    <row r="20" spans="1:9" ht="11.25" customHeight="1">
      <c r="A20" s="240" t="s">
        <v>94</v>
      </c>
      <c r="B20" s="7"/>
      <c r="C20" s="116">
        <v>664</v>
      </c>
      <c r="D20" s="116"/>
      <c r="E20" s="422" t="s">
        <v>25</v>
      </c>
      <c r="F20" s="311"/>
      <c r="G20" s="116">
        <v>656</v>
      </c>
      <c r="H20" s="116"/>
      <c r="I20" s="422" t="s">
        <v>25</v>
      </c>
    </row>
    <row r="21" spans="1:9" ht="11.25" customHeight="1">
      <c r="A21" s="240" t="s">
        <v>91</v>
      </c>
      <c r="B21" s="7"/>
      <c r="C21" s="311">
        <v>5</v>
      </c>
      <c r="D21" s="311"/>
      <c r="E21" s="422" t="s">
        <v>25</v>
      </c>
      <c r="F21" s="311"/>
      <c r="G21" s="311">
        <v>16</v>
      </c>
      <c r="H21" s="311"/>
      <c r="I21" s="422" t="s">
        <v>25</v>
      </c>
    </row>
    <row r="22" spans="1:9" ht="11.25" customHeight="1">
      <c r="A22" s="239" t="s">
        <v>95</v>
      </c>
      <c r="B22" s="7"/>
      <c r="C22" s="311"/>
      <c r="D22" s="311"/>
      <c r="E22" s="498"/>
      <c r="F22" s="311"/>
      <c r="G22" s="311"/>
      <c r="H22" s="311"/>
      <c r="I22" s="498"/>
    </row>
    <row r="23" spans="1:9" ht="11.25" customHeight="1">
      <c r="A23" s="240" t="s">
        <v>96</v>
      </c>
      <c r="B23" s="7"/>
      <c r="C23" s="311">
        <v>3360</v>
      </c>
      <c r="D23" s="311"/>
      <c r="E23" s="422" t="s">
        <v>25</v>
      </c>
      <c r="F23" s="311"/>
      <c r="G23" s="311">
        <v>3130</v>
      </c>
      <c r="H23" s="311"/>
      <c r="I23" s="422" t="s">
        <v>25</v>
      </c>
    </row>
    <row r="24" spans="1:9" ht="11.25" customHeight="1">
      <c r="A24" s="240" t="s">
        <v>97</v>
      </c>
      <c r="B24" s="7"/>
      <c r="C24" s="311">
        <v>485</v>
      </c>
      <c r="D24" s="311"/>
      <c r="E24" s="422" t="s">
        <v>25</v>
      </c>
      <c r="F24" s="311"/>
      <c r="G24" s="311">
        <v>526</v>
      </c>
      <c r="H24" s="311"/>
      <c r="I24" s="422" t="s">
        <v>25</v>
      </c>
    </row>
    <row r="25" spans="1:9" ht="11.25" customHeight="1">
      <c r="A25" s="240" t="s">
        <v>98</v>
      </c>
      <c r="B25" s="7"/>
      <c r="C25" s="311">
        <v>2190</v>
      </c>
      <c r="D25" s="311"/>
      <c r="E25" s="311">
        <v>94</v>
      </c>
      <c r="F25" s="311"/>
      <c r="G25" s="311">
        <v>1860</v>
      </c>
      <c r="H25" s="311"/>
      <c r="I25" s="311">
        <v>103</v>
      </c>
    </row>
    <row r="26" spans="1:9" ht="11.25" customHeight="1">
      <c r="A26" s="240" t="s">
        <v>99</v>
      </c>
      <c r="B26" s="7"/>
      <c r="C26" s="311">
        <v>1400</v>
      </c>
      <c r="D26" s="311"/>
      <c r="E26" s="422" t="s">
        <v>25</v>
      </c>
      <c r="F26" s="311"/>
      <c r="G26" s="311">
        <v>1490</v>
      </c>
      <c r="H26" s="311"/>
      <c r="I26" s="311" t="s">
        <v>25</v>
      </c>
    </row>
    <row r="27" spans="1:9" ht="11.25" customHeight="1">
      <c r="A27" s="240" t="s">
        <v>422</v>
      </c>
      <c r="B27" s="7"/>
      <c r="C27" s="499" t="s">
        <v>25</v>
      </c>
      <c r="D27" s="311"/>
      <c r="E27" s="311">
        <v>213</v>
      </c>
      <c r="F27" s="496"/>
      <c r="G27" s="311">
        <v>1</v>
      </c>
      <c r="H27" s="311"/>
      <c r="I27" s="311">
        <v>143</v>
      </c>
    </row>
    <row r="28" spans="1:9" ht="11.25" customHeight="1">
      <c r="A28" s="240" t="s">
        <v>100</v>
      </c>
      <c r="B28" s="7"/>
      <c r="C28" s="442">
        <v>200</v>
      </c>
      <c r="D28" s="311"/>
      <c r="E28" s="422" t="s">
        <v>25</v>
      </c>
      <c r="F28" s="311"/>
      <c r="G28" s="311">
        <v>180</v>
      </c>
      <c r="H28" s="311"/>
      <c r="I28" s="311" t="s">
        <v>25</v>
      </c>
    </row>
    <row r="29" spans="1:9" ht="11.25" customHeight="1">
      <c r="A29" s="240" t="s">
        <v>101</v>
      </c>
      <c r="B29" s="7"/>
      <c r="C29" s="311">
        <v>365</v>
      </c>
      <c r="D29" s="311"/>
      <c r="E29" s="422" t="s">
        <v>25</v>
      </c>
      <c r="F29" s="311"/>
      <c r="G29" s="311">
        <v>274</v>
      </c>
      <c r="H29" s="311"/>
      <c r="I29" s="311" t="s">
        <v>25</v>
      </c>
    </row>
    <row r="30" spans="1:9" ht="11.25" customHeight="1">
      <c r="A30" s="240" t="s">
        <v>102</v>
      </c>
      <c r="B30" s="7"/>
      <c r="C30" s="311">
        <v>207</v>
      </c>
      <c r="D30" s="311"/>
      <c r="E30" s="500" t="s">
        <v>25</v>
      </c>
      <c r="F30" s="496"/>
      <c r="G30" s="311">
        <v>200</v>
      </c>
      <c r="H30" s="311"/>
      <c r="I30" s="422" t="s">
        <v>25</v>
      </c>
    </row>
    <row r="31" spans="1:9" ht="11.25" customHeight="1">
      <c r="A31" s="240" t="s">
        <v>423</v>
      </c>
      <c r="B31" s="7"/>
      <c r="C31" s="311">
        <v>20</v>
      </c>
      <c r="D31" s="311"/>
      <c r="E31" s="311">
        <v>88</v>
      </c>
      <c r="F31" s="311"/>
      <c r="G31" s="311">
        <v>12</v>
      </c>
      <c r="H31" s="311"/>
      <c r="I31" s="311">
        <v>88</v>
      </c>
    </row>
    <row r="32" spans="1:9" ht="11.25" customHeight="1">
      <c r="A32" s="240" t="s">
        <v>424</v>
      </c>
      <c r="B32" s="7"/>
      <c r="C32" s="311">
        <v>239</v>
      </c>
      <c r="D32" s="311"/>
      <c r="E32" s="311">
        <v>11</v>
      </c>
      <c r="F32" s="215"/>
      <c r="G32" s="311">
        <v>226</v>
      </c>
      <c r="H32" s="311"/>
      <c r="I32" s="311">
        <v>5</v>
      </c>
    </row>
    <row r="33" spans="1:24" ht="11.25" customHeight="1">
      <c r="A33" s="239" t="s">
        <v>103</v>
      </c>
      <c r="B33" s="7"/>
      <c r="C33" s="311"/>
      <c r="D33" s="311"/>
      <c r="E33" s="311"/>
      <c r="F33" s="311"/>
      <c r="G33" s="311"/>
      <c r="H33" s="311"/>
      <c r="I33" s="311"/>
      <c r="M33" t="s">
        <v>128</v>
      </c>
    </row>
    <row r="34" spans="1:24" ht="11.25" customHeight="1">
      <c r="A34" s="240" t="s">
        <v>104</v>
      </c>
      <c r="B34" s="7"/>
      <c r="C34" s="654" t="s">
        <v>417</v>
      </c>
      <c r="D34" s="311"/>
      <c r="E34" s="311">
        <v>5210</v>
      </c>
      <c r="F34" s="215"/>
      <c r="G34" s="654" t="s">
        <v>417</v>
      </c>
      <c r="H34" s="311"/>
      <c r="I34" s="311">
        <v>5190</v>
      </c>
    </row>
    <row r="35" spans="1:24" ht="11.25" customHeight="1">
      <c r="A35" s="241" t="s">
        <v>418</v>
      </c>
      <c r="B35" s="7"/>
      <c r="C35" s="404">
        <v>11</v>
      </c>
      <c r="D35" s="404"/>
      <c r="E35" s="404">
        <v>34</v>
      </c>
      <c r="F35" s="444"/>
      <c r="G35" s="404">
        <v>17</v>
      </c>
      <c r="H35" s="404"/>
      <c r="I35" s="404">
        <v>45</v>
      </c>
    </row>
    <row r="36" spans="1:24" ht="11.25" customHeight="1">
      <c r="A36" s="242" t="s">
        <v>419</v>
      </c>
      <c r="B36" s="7"/>
      <c r="C36" s="311">
        <v>131000</v>
      </c>
      <c r="D36" s="311"/>
      <c r="E36" s="311">
        <v>12100</v>
      </c>
      <c r="F36" s="215"/>
      <c r="G36" s="311">
        <v>129000</v>
      </c>
      <c r="H36" s="311"/>
      <c r="I36" s="311">
        <v>13100</v>
      </c>
    </row>
    <row r="37" spans="1:24" ht="11.25" customHeight="1">
      <c r="A37" s="239" t="s">
        <v>421</v>
      </c>
      <c r="B37" s="7"/>
      <c r="C37" s="435" t="s">
        <v>25</v>
      </c>
      <c r="D37" s="312"/>
      <c r="E37" s="312">
        <v>2130</v>
      </c>
      <c r="F37" s="497"/>
      <c r="G37" s="435" t="s">
        <v>25</v>
      </c>
      <c r="H37" s="312"/>
      <c r="I37" s="312">
        <v>1020</v>
      </c>
    </row>
    <row r="38" spans="1:24" ht="11.25" customHeight="1">
      <c r="A38" s="242" t="s">
        <v>420</v>
      </c>
      <c r="B38" s="52"/>
      <c r="C38" s="404">
        <v>131000</v>
      </c>
      <c r="D38" s="404"/>
      <c r="E38" s="404">
        <v>14300</v>
      </c>
      <c r="F38" s="444"/>
      <c r="G38" s="404">
        <v>129000</v>
      </c>
      <c r="H38" s="404"/>
      <c r="I38" s="404">
        <v>14200</v>
      </c>
      <c r="J38" s="257"/>
    </row>
    <row r="39" spans="1:24" ht="11.25" customHeight="1">
      <c r="A39" s="722" t="s">
        <v>772</v>
      </c>
      <c r="B39" s="723"/>
      <c r="C39" s="723"/>
      <c r="D39" s="723"/>
      <c r="E39" s="723"/>
      <c r="F39" s="723"/>
      <c r="G39" s="723"/>
      <c r="H39" s="723"/>
      <c r="I39" s="723"/>
    </row>
    <row r="40" spans="1:24" s="234" customFormat="1" ht="22.5" customHeight="1">
      <c r="A40" s="695" t="s">
        <v>822</v>
      </c>
      <c r="B40" s="700"/>
      <c r="C40" s="700"/>
      <c r="D40" s="700"/>
      <c r="E40" s="700"/>
      <c r="F40" s="700"/>
      <c r="G40" s="700"/>
      <c r="H40" s="700"/>
      <c r="I40" s="700"/>
      <c r="J40" s="132"/>
      <c r="K40" s="132"/>
      <c r="L40" s="132"/>
      <c r="M40" s="132"/>
      <c r="N40" s="132"/>
      <c r="O40" s="132"/>
      <c r="P40" s="132"/>
      <c r="Q40" s="132"/>
      <c r="R40" s="132"/>
      <c r="S40" s="132"/>
      <c r="T40" s="132"/>
      <c r="U40" s="132"/>
      <c r="V40" s="132"/>
      <c r="W40" s="132"/>
      <c r="X40" s="132"/>
    </row>
    <row r="41" spans="1:24" ht="11.25" customHeight="1">
      <c r="A41" s="720" t="s">
        <v>227</v>
      </c>
      <c r="B41" s="720"/>
      <c r="C41" s="720"/>
      <c r="D41" s="720"/>
      <c r="E41" s="720"/>
      <c r="F41" s="720"/>
      <c r="G41" s="720"/>
      <c r="H41" s="720"/>
      <c r="I41" s="720"/>
    </row>
    <row r="42" spans="1:24" ht="11.25" customHeight="1">
      <c r="A42" s="720" t="s">
        <v>105</v>
      </c>
      <c r="B42" s="720"/>
      <c r="C42" s="720"/>
      <c r="D42" s="720"/>
      <c r="E42" s="720"/>
      <c r="F42" s="720"/>
      <c r="G42" s="720"/>
      <c r="H42" s="720"/>
      <c r="I42" s="720"/>
    </row>
    <row r="43" spans="1:24" ht="11.25" customHeight="1">
      <c r="A43" s="720" t="s">
        <v>408</v>
      </c>
      <c r="B43" s="720"/>
      <c r="C43" s="720"/>
      <c r="D43" s="720"/>
      <c r="E43" s="720"/>
      <c r="F43" s="720"/>
      <c r="G43" s="720"/>
      <c r="H43" s="720"/>
      <c r="I43" s="720"/>
    </row>
    <row r="44" spans="1:24" ht="11.25" customHeight="1">
      <c r="A44" s="720" t="s">
        <v>394</v>
      </c>
      <c r="B44" s="720"/>
      <c r="C44" s="720"/>
      <c r="D44" s="720"/>
      <c r="E44" s="720"/>
      <c r="F44" s="720"/>
      <c r="G44" s="720"/>
      <c r="H44" s="720"/>
      <c r="I44" s="720"/>
    </row>
    <row r="45" spans="1:24" ht="11.25" customHeight="1">
      <c r="A45" s="692" t="s">
        <v>393</v>
      </c>
      <c r="B45" s="699"/>
      <c r="C45" s="699"/>
      <c r="D45" s="699"/>
      <c r="E45" s="699"/>
      <c r="F45" s="699"/>
      <c r="G45" s="699"/>
      <c r="H45" s="699"/>
      <c r="I45" s="699"/>
    </row>
    <row r="46" spans="1:24" ht="11.25" customHeight="1">
      <c r="A46" s="720" t="s">
        <v>425</v>
      </c>
      <c r="B46" s="699"/>
      <c r="C46" s="699"/>
      <c r="D46" s="699"/>
      <c r="E46" s="699"/>
      <c r="F46" s="699"/>
      <c r="G46" s="699"/>
      <c r="H46" s="699"/>
      <c r="I46" s="699"/>
    </row>
    <row r="47" spans="1:24" ht="11.25" customHeight="1">
      <c r="A47" s="720" t="s">
        <v>426</v>
      </c>
      <c r="B47" s="699"/>
      <c r="C47" s="699"/>
      <c r="D47" s="699"/>
      <c r="E47" s="699"/>
      <c r="F47" s="699"/>
      <c r="G47" s="699"/>
      <c r="H47" s="699"/>
      <c r="I47" s="699"/>
    </row>
    <row r="48" spans="1:24" ht="11.25" customHeight="1">
      <c r="A48" s="720" t="s">
        <v>427</v>
      </c>
      <c r="B48" s="699"/>
      <c r="C48" s="699"/>
      <c r="D48" s="699"/>
      <c r="E48" s="699"/>
      <c r="F48" s="699"/>
      <c r="G48" s="699"/>
      <c r="H48" s="699"/>
      <c r="I48" s="699"/>
    </row>
    <row r="49" spans="1:9" ht="11.25" customHeight="1">
      <c r="A49" s="720" t="s">
        <v>428</v>
      </c>
      <c r="B49" s="699"/>
      <c r="C49" s="699"/>
      <c r="D49" s="699"/>
      <c r="E49" s="699"/>
      <c r="F49" s="699"/>
      <c r="G49" s="699"/>
      <c r="H49" s="699"/>
      <c r="I49" s="699"/>
    </row>
    <row r="50" spans="1:9" ht="11.25" customHeight="1">
      <c r="A50" s="720" t="s">
        <v>429</v>
      </c>
      <c r="B50" s="699"/>
      <c r="C50" s="699"/>
      <c r="D50" s="699"/>
      <c r="E50" s="699"/>
      <c r="F50" s="699"/>
      <c r="G50" s="699"/>
      <c r="H50" s="699"/>
      <c r="I50" s="699"/>
    </row>
    <row r="51" spans="1:9" ht="11.25" customHeight="1">
      <c r="A51" s="720" t="s">
        <v>430</v>
      </c>
      <c r="B51" s="699"/>
      <c r="C51" s="699"/>
      <c r="D51" s="699"/>
      <c r="E51" s="699"/>
      <c r="F51" s="699"/>
      <c r="G51" s="699"/>
      <c r="H51" s="699"/>
      <c r="I51" s="699"/>
    </row>
    <row r="52" spans="1:9" ht="11.25" customHeight="1">
      <c r="A52" s="720" t="s">
        <v>431</v>
      </c>
      <c r="B52" s="699"/>
      <c r="C52" s="699"/>
      <c r="D52" s="699"/>
      <c r="E52" s="699"/>
      <c r="F52" s="699"/>
      <c r="G52" s="699"/>
      <c r="H52" s="699"/>
      <c r="I52" s="699"/>
    </row>
    <row r="53" spans="1:9" ht="11.25" customHeight="1">
      <c r="A53" s="112"/>
      <c r="B53" s="112"/>
      <c r="C53" s="386"/>
      <c r="D53" s="112"/>
      <c r="E53" s="386"/>
      <c r="F53" s="386"/>
      <c r="G53" s="386"/>
      <c r="H53" s="386"/>
      <c r="I53" s="386"/>
    </row>
    <row r="54" spans="1:9" ht="11.25" customHeight="1"/>
    <row r="55" spans="1:9" ht="11.25" customHeight="1"/>
    <row r="56" spans="1:9" ht="11.25" customHeight="1"/>
    <row r="57" spans="1:9" ht="11.25" customHeight="1"/>
    <row r="58" spans="1:9" ht="11.25" customHeight="1"/>
    <row r="59" spans="1:9" ht="11.25" customHeight="1"/>
    <row r="60" spans="1:9" ht="11.25" customHeight="1"/>
    <row r="61" spans="1:9" ht="11.25" customHeight="1"/>
    <row r="62" spans="1:9" ht="11.25" customHeight="1"/>
    <row r="63" spans="1:9" ht="11.25" customHeight="1"/>
  </sheetData>
  <mergeCells count="21">
    <mergeCell ref="A45:I45"/>
    <mergeCell ref="A40:I40"/>
    <mergeCell ref="A42:I42"/>
    <mergeCell ref="A43:I43"/>
    <mergeCell ref="A44:I44"/>
    <mergeCell ref="C6:E6"/>
    <mergeCell ref="G6:I6"/>
    <mergeCell ref="A39:I39"/>
    <mergeCell ref="A41:I41"/>
    <mergeCell ref="A1:I1"/>
    <mergeCell ref="A2:I2"/>
    <mergeCell ref="A3:I3"/>
    <mergeCell ref="A4:I4"/>
    <mergeCell ref="A5:I5"/>
    <mergeCell ref="A51:I51"/>
    <mergeCell ref="A52:I52"/>
    <mergeCell ref="A46:I46"/>
    <mergeCell ref="A47:I47"/>
    <mergeCell ref="A48:I48"/>
    <mergeCell ref="A49:I49"/>
    <mergeCell ref="A50:I50"/>
  </mergeCells>
  <pageMargins left="0.5" right="0.5" top="0.75" bottom="0.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2"/>
  <sheetViews>
    <sheetView zoomScaleNormal="100" workbookViewId="0">
      <selection activeCell="K17" sqref="K17"/>
    </sheetView>
  </sheetViews>
  <sheetFormatPr defaultRowHeight="14"/>
  <cols>
    <col min="1" max="1" width="12.7265625" customWidth="1"/>
    <col min="2" max="2" width="1.7265625" customWidth="1"/>
    <col min="3" max="3" width="6.7265625" customWidth="1"/>
    <col min="4" max="4" width="1.7265625" customWidth="1"/>
    <col min="5" max="5" width="7.7265625" customWidth="1"/>
    <col min="6" max="6" width="1.7265625" customWidth="1"/>
    <col min="7" max="7" width="7.7265625" customWidth="1"/>
    <col min="8" max="8" width="1.7265625" customWidth="1"/>
    <col min="9" max="9" width="7.7265625" customWidth="1"/>
    <col min="10" max="10" width="1.7265625" customWidth="1"/>
    <col min="11" max="11" width="7.7265625" customWidth="1"/>
    <col min="12" max="12" width="1.7265625" customWidth="1"/>
    <col min="13" max="13" width="7.7265625" customWidth="1"/>
    <col min="14" max="14" width="1.7265625" customWidth="1"/>
    <col min="15" max="15" width="8.7265625" customWidth="1"/>
    <col min="16" max="16" width="1.7265625" customWidth="1"/>
    <col min="17" max="17" width="7.7265625" customWidth="1"/>
    <col min="18" max="18" width="1.7265625" customWidth="1"/>
    <col min="19" max="19" width="7.7265625" customWidth="1"/>
    <col min="20" max="20" width="1.7265625" customWidth="1"/>
    <col min="21" max="21" width="6.7265625" customWidth="1"/>
  </cols>
  <sheetData>
    <row r="1" spans="1:21" ht="11.25" customHeight="1">
      <c r="A1" s="729" t="s">
        <v>59</v>
      </c>
      <c r="B1" s="729"/>
      <c r="C1" s="729"/>
      <c r="D1" s="729"/>
      <c r="E1" s="729"/>
      <c r="F1" s="729"/>
      <c r="G1" s="729"/>
      <c r="H1" s="729"/>
      <c r="I1" s="729"/>
      <c r="J1" s="729"/>
      <c r="K1" s="729"/>
      <c r="L1" s="729"/>
      <c r="M1" s="729"/>
      <c r="N1" s="729"/>
      <c r="O1" s="729"/>
      <c r="P1" s="729"/>
      <c r="Q1" s="729"/>
      <c r="R1" s="729"/>
      <c r="S1" s="729"/>
      <c r="T1" s="729"/>
      <c r="U1" s="729"/>
    </row>
    <row r="2" spans="1:21" ht="11.25" customHeight="1">
      <c r="A2" s="729" t="s">
        <v>406</v>
      </c>
      <c r="B2" s="729"/>
      <c r="C2" s="729"/>
      <c r="D2" s="729"/>
      <c r="E2" s="729"/>
      <c r="F2" s="729"/>
      <c r="G2" s="729"/>
      <c r="H2" s="729"/>
      <c r="I2" s="729"/>
      <c r="J2" s="729"/>
      <c r="K2" s="729"/>
      <c r="L2" s="729"/>
      <c r="M2" s="729"/>
      <c r="N2" s="729"/>
      <c r="O2" s="729"/>
      <c r="P2" s="729"/>
      <c r="Q2" s="729"/>
      <c r="R2" s="729"/>
      <c r="S2" s="729"/>
      <c r="T2" s="729"/>
      <c r="U2" s="729"/>
    </row>
    <row r="3" spans="1:21" ht="11.25" customHeight="1">
      <c r="A3" s="730"/>
      <c r="B3" s="731"/>
      <c r="C3" s="731"/>
      <c r="D3" s="731"/>
      <c r="E3" s="731"/>
      <c r="F3" s="731"/>
      <c r="G3" s="731"/>
      <c r="H3" s="731"/>
      <c r="I3" s="731"/>
      <c r="J3" s="731"/>
      <c r="K3" s="731"/>
      <c r="L3" s="731"/>
      <c r="M3" s="731"/>
      <c r="N3" s="731"/>
      <c r="O3" s="731"/>
      <c r="P3" s="731"/>
      <c r="Q3" s="731"/>
      <c r="R3" s="731"/>
      <c r="S3" s="731"/>
      <c r="T3" s="731"/>
      <c r="U3" s="731"/>
    </row>
    <row r="4" spans="1:21" ht="11.25" customHeight="1">
      <c r="A4" s="243"/>
      <c r="B4" s="243"/>
      <c r="C4" s="726" t="s">
        <v>43</v>
      </c>
      <c r="D4" s="726"/>
      <c r="E4" s="726"/>
      <c r="F4" s="726"/>
      <c r="G4" s="726"/>
      <c r="H4" s="243"/>
      <c r="I4" s="727" t="s">
        <v>60</v>
      </c>
      <c r="J4" s="727"/>
      <c r="K4" s="727"/>
      <c r="L4" s="727"/>
      <c r="M4" s="727"/>
      <c r="N4" s="727"/>
      <c r="O4" s="727"/>
      <c r="P4" s="243"/>
      <c r="Q4" s="728" t="s">
        <v>61</v>
      </c>
      <c r="R4" s="728"/>
      <c r="S4" s="728"/>
      <c r="T4" s="728"/>
      <c r="U4" s="728"/>
    </row>
    <row r="5" spans="1:21" ht="11.25" customHeight="1">
      <c r="A5" s="243"/>
      <c r="B5" s="243"/>
      <c r="C5" s="243"/>
      <c r="D5" s="243"/>
      <c r="E5" s="243" t="s">
        <v>62</v>
      </c>
      <c r="F5" s="243"/>
      <c r="G5" s="243"/>
      <c r="H5" s="243"/>
      <c r="I5" s="243" t="s">
        <v>63</v>
      </c>
      <c r="J5" s="243"/>
      <c r="K5" s="243" t="s">
        <v>64</v>
      </c>
      <c r="L5" s="243"/>
      <c r="M5" s="243" t="s">
        <v>65</v>
      </c>
      <c r="N5" s="243"/>
      <c r="O5" s="243" t="s">
        <v>66</v>
      </c>
      <c r="P5" s="243"/>
      <c r="Q5" s="243" t="s">
        <v>67</v>
      </c>
      <c r="R5" s="243"/>
      <c r="S5" s="243" t="s">
        <v>68</v>
      </c>
      <c r="T5" s="243"/>
      <c r="U5" s="243" t="s">
        <v>69</v>
      </c>
    </row>
    <row r="6" spans="1:21" ht="11.25" customHeight="1">
      <c r="A6" s="243"/>
      <c r="B6" s="243"/>
      <c r="C6" s="243" t="s">
        <v>30</v>
      </c>
      <c r="D6" s="243"/>
      <c r="E6" s="243" t="s">
        <v>46</v>
      </c>
      <c r="F6" s="243"/>
      <c r="G6" s="243" t="s">
        <v>4</v>
      </c>
      <c r="H6" s="243"/>
      <c r="I6" s="243" t="s">
        <v>46</v>
      </c>
      <c r="J6" s="243"/>
      <c r="K6" s="243" t="s">
        <v>46</v>
      </c>
      <c r="L6" s="243"/>
      <c r="M6" s="243" t="s">
        <v>46</v>
      </c>
      <c r="N6" s="243"/>
      <c r="O6" s="243" t="s">
        <v>46</v>
      </c>
      <c r="P6" s="243"/>
      <c r="Q6" s="243" t="s">
        <v>46</v>
      </c>
      <c r="R6" s="243"/>
      <c r="S6" s="243" t="s">
        <v>46</v>
      </c>
      <c r="T6" s="243"/>
      <c r="U6" s="243" t="s">
        <v>46</v>
      </c>
    </row>
    <row r="7" spans="1:21" ht="11.25" customHeight="1">
      <c r="A7" s="418" t="s">
        <v>70</v>
      </c>
      <c r="B7" s="418"/>
      <c r="C7" s="418" t="s">
        <v>71</v>
      </c>
      <c r="D7" s="418"/>
      <c r="E7" s="418" t="s">
        <v>53</v>
      </c>
      <c r="F7" s="418"/>
      <c r="G7" s="418" t="s">
        <v>72</v>
      </c>
      <c r="H7" s="418"/>
      <c r="I7" s="418" t="s">
        <v>53</v>
      </c>
      <c r="J7" s="418"/>
      <c r="K7" s="418" t="s">
        <v>53</v>
      </c>
      <c r="L7" s="418"/>
      <c r="M7" s="418" t="s">
        <v>73</v>
      </c>
      <c r="N7" s="418"/>
      <c r="O7" s="418" t="s">
        <v>74</v>
      </c>
      <c r="P7" s="418"/>
      <c r="Q7" s="418" t="s">
        <v>53</v>
      </c>
      <c r="R7" s="418"/>
      <c r="S7" s="418" t="s">
        <v>53</v>
      </c>
      <c r="T7" s="418"/>
      <c r="U7" s="418" t="s">
        <v>73</v>
      </c>
    </row>
    <row r="8" spans="1:21" ht="11.25" customHeight="1">
      <c r="A8" s="313" t="s">
        <v>534</v>
      </c>
      <c r="B8" s="314"/>
      <c r="C8" s="315"/>
      <c r="D8" s="6"/>
      <c r="E8" s="315"/>
      <c r="F8" s="48"/>
      <c r="G8" s="316"/>
      <c r="H8" s="48"/>
      <c r="I8" s="315"/>
      <c r="J8" s="6"/>
      <c r="K8" s="315"/>
      <c r="L8" s="6"/>
      <c r="M8" s="315"/>
      <c r="N8" s="6"/>
      <c r="O8" s="315"/>
      <c r="P8" s="6"/>
      <c r="Q8" s="315"/>
      <c r="R8" s="6"/>
      <c r="S8" s="315"/>
      <c r="T8" s="6"/>
      <c r="U8" s="315"/>
    </row>
    <row r="9" spans="1:21" ht="11.25" customHeight="1">
      <c r="A9" s="317" t="s">
        <v>51</v>
      </c>
      <c r="B9" s="314"/>
      <c r="C9" s="5">
        <v>7</v>
      </c>
      <c r="D9" s="6"/>
      <c r="E9" s="5">
        <v>1492</v>
      </c>
      <c r="F9" s="48"/>
      <c r="G9" s="318">
        <v>1.9</v>
      </c>
      <c r="H9" s="48"/>
      <c r="I9" s="5">
        <v>152</v>
      </c>
      <c r="J9" s="6"/>
      <c r="K9" s="5">
        <v>26</v>
      </c>
      <c r="L9" s="6"/>
      <c r="M9" s="5">
        <v>1710</v>
      </c>
      <c r="N9" s="6"/>
      <c r="O9" s="5">
        <v>66700</v>
      </c>
      <c r="P9" s="6"/>
      <c r="Q9" s="319" t="s">
        <v>119</v>
      </c>
      <c r="R9" s="6"/>
      <c r="S9" s="5">
        <v>8</v>
      </c>
      <c r="T9" s="6"/>
      <c r="U9" s="5">
        <v>200000</v>
      </c>
    </row>
    <row r="10" spans="1:21" ht="11.25" customHeight="1">
      <c r="A10" s="317" t="s">
        <v>367</v>
      </c>
      <c r="B10" s="314"/>
      <c r="C10" s="5">
        <v>85</v>
      </c>
      <c r="D10" s="6"/>
      <c r="E10" s="5">
        <v>77998</v>
      </c>
      <c r="F10" s="48"/>
      <c r="G10" s="318">
        <v>98.1</v>
      </c>
      <c r="H10" s="48"/>
      <c r="I10" s="5">
        <v>4580</v>
      </c>
      <c r="J10" s="6"/>
      <c r="K10" s="5">
        <v>1830</v>
      </c>
      <c r="L10" s="6"/>
      <c r="M10" s="5">
        <v>32200</v>
      </c>
      <c r="N10" s="6"/>
      <c r="O10" s="5">
        <v>2070000</v>
      </c>
      <c r="P10" s="6"/>
      <c r="Q10" s="5">
        <v>398</v>
      </c>
      <c r="R10" s="6"/>
      <c r="S10" s="5">
        <v>1100</v>
      </c>
      <c r="T10" s="6"/>
      <c r="U10" s="5">
        <v>575000</v>
      </c>
    </row>
    <row r="11" spans="1:21" ht="11.25" customHeight="1">
      <c r="A11" s="317" t="s">
        <v>368</v>
      </c>
      <c r="B11" s="314"/>
      <c r="C11" s="319" t="s">
        <v>25</v>
      </c>
      <c r="D11" s="320"/>
      <c r="E11" s="319" t="s">
        <v>25</v>
      </c>
      <c r="F11" s="118"/>
      <c r="G11" s="319" t="s">
        <v>25</v>
      </c>
      <c r="H11" s="122"/>
      <c r="I11" s="319" t="s">
        <v>25</v>
      </c>
      <c r="J11" s="118"/>
      <c r="K11" s="319" t="s">
        <v>25</v>
      </c>
      <c r="L11" s="122"/>
      <c r="M11" s="319" t="s">
        <v>25</v>
      </c>
      <c r="N11" s="118"/>
      <c r="O11" s="319" t="s">
        <v>25</v>
      </c>
      <c r="P11" s="122"/>
      <c r="Q11" s="319" t="s">
        <v>25</v>
      </c>
      <c r="R11" s="118"/>
      <c r="S11" s="319" t="s">
        <v>25</v>
      </c>
      <c r="T11" s="122"/>
      <c r="U11" s="319" t="s">
        <v>25</v>
      </c>
    </row>
    <row r="12" spans="1:21" ht="11.25" customHeight="1">
      <c r="A12" s="321" t="s">
        <v>369</v>
      </c>
      <c r="B12" s="322"/>
      <c r="C12" s="323">
        <v>92</v>
      </c>
      <c r="D12" s="324"/>
      <c r="E12" s="323">
        <v>79489</v>
      </c>
      <c r="F12" s="325"/>
      <c r="G12" s="326">
        <v>100</v>
      </c>
      <c r="H12" s="325"/>
      <c r="I12" s="323">
        <v>4730</v>
      </c>
      <c r="J12" s="324"/>
      <c r="K12" s="323">
        <v>1860</v>
      </c>
      <c r="L12" s="324"/>
      <c r="M12" s="323">
        <v>33900</v>
      </c>
      <c r="N12" s="324"/>
      <c r="O12" s="323">
        <v>2140000</v>
      </c>
      <c r="P12" s="324"/>
      <c r="Q12" s="323">
        <v>398</v>
      </c>
      <c r="R12" s="324"/>
      <c r="S12" s="323">
        <v>1120</v>
      </c>
      <c r="T12" s="324"/>
      <c r="U12" s="323">
        <v>774000</v>
      </c>
    </row>
    <row r="13" spans="1:21" ht="11.25" customHeight="1">
      <c r="A13" s="313" t="s">
        <v>726</v>
      </c>
      <c r="B13" s="314"/>
      <c r="C13" s="315"/>
      <c r="D13" s="6"/>
      <c r="E13" s="315"/>
      <c r="F13" s="48"/>
      <c r="G13" s="316"/>
      <c r="H13" s="48"/>
      <c r="I13" s="315"/>
      <c r="J13" s="6"/>
      <c r="K13" s="315"/>
      <c r="L13" s="6"/>
      <c r="M13" s="315"/>
      <c r="N13" s="6"/>
      <c r="O13" s="315"/>
      <c r="P13" s="6"/>
      <c r="Q13" s="315"/>
      <c r="R13" s="6"/>
      <c r="S13" s="315"/>
      <c r="T13" s="6"/>
      <c r="U13" s="315"/>
    </row>
    <row r="14" spans="1:21" ht="11.25" customHeight="1">
      <c r="A14" s="317" t="s">
        <v>51</v>
      </c>
      <c r="B14" s="314"/>
      <c r="C14" s="5">
        <v>7</v>
      </c>
      <c r="D14" s="6"/>
      <c r="E14" s="5">
        <v>1409</v>
      </c>
      <c r="F14" s="48"/>
      <c r="G14" s="318">
        <v>1.8</v>
      </c>
      <c r="H14" s="48"/>
      <c r="I14" s="5">
        <v>127</v>
      </c>
      <c r="J14" s="6"/>
      <c r="K14" s="5">
        <v>8</v>
      </c>
      <c r="L14" s="6"/>
      <c r="M14" s="5">
        <v>1730</v>
      </c>
      <c r="N14" s="6"/>
      <c r="O14" s="5">
        <v>75100</v>
      </c>
      <c r="P14" s="6"/>
      <c r="Q14" s="5">
        <v>15</v>
      </c>
      <c r="R14" s="6"/>
      <c r="S14" s="5">
        <v>14</v>
      </c>
      <c r="T14" s="6"/>
      <c r="U14" s="5">
        <v>178000</v>
      </c>
    </row>
    <row r="15" spans="1:21" ht="11.25" customHeight="1">
      <c r="A15" s="317" t="s">
        <v>367</v>
      </c>
      <c r="B15" s="314"/>
      <c r="C15" s="5">
        <v>84</v>
      </c>
      <c r="D15" s="6"/>
      <c r="E15" s="5">
        <v>75380</v>
      </c>
      <c r="F15" s="48"/>
      <c r="G15" s="318">
        <v>98.2</v>
      </c>
      <c r="H15" s="48"/>
      <c r="I15" s="5">
        <v>4050</v>
      </c>
      <c r="J15" s="6"/>
      <c r="K15" s="5">
        <v>1520</v>
      </c>
      <c r="L15" s="6"/>
      <c r="M15" s="5">
        <v>23500</v>
      </c>
      <c r="N15" s="6"/>
      <c r="O15" s="5">
        <v>2490000</v>
      </c>
      <c r="P15" s="6"/>
      <c r="Q15" s="5">
        <v>501</v>
      </c>
      <c r="R15" s="6"/>
      <c r="S15" s="5">
        <v>1240</v>
      </c>
      <c r="T15" s="6"/>
      <c r="U15" s="5">
        <v>589000</v>
      </c>
    </row>
    <row r="16" spans="1:21" ht="11.25" customHeight="1">
      <c r="A16" s="317" t="s">
        <v>368</v>
      </c>
      <c r="B16" s="314"/>
      <c r="C16" s="319" t="s">
        <v>25</v>
      </c>
      <c r="D16" s="320"/>
      <c r="E16" s="319" t="s">
        <v>25</v>
      </c>
      <c r="F16" s="118"/>
      <c r="G16" s="319" t="s">
        <v>25</v>
      </c>
      <c r="H16" s="122"/>
      <c r="I16" s="319" t="s">
        <v>25</v>
      </c>
      <c r="J16" s="118"/>
      <c r="K16" s="319" t="s">
        <v>25</v>
      </c>
      <c r="L16" s="122"/>
      <c r="M16" s="319" t="s">
        <v>25</v>
      </c>
      <c r="N16" s="118"/>
      <c r="O16" s="319" t="s">
        <v>25</v>
      </c>
      <c r="P16" s="122"/>
      <c r="Q16" s="319" t="s">
        <v>25</v>
      </c>
      <c r="R16" s="118"/>
      <c r="S16" s="319" t="s">
        <v>25</v>
      </c>
      <c r="T16" s="122"/>
      <c r="U16" s="319" t="s">
        <v>25</v>
      </c>
    </row>
    <row r="17" spans="1:21" ht="11.25" customHeight="1">
      <c r="A17" s="321" t="s">
        <v>369</v>
      </c>
      <c r="B17" s="322"/>
      <c r="C17" s="323">
        <v>91</v>
      </c>
      <c r="D17" s="324"/>
      <c r="E17" s="323">
        <v>76789</v>
      </c>
      <c r="F17" s="325"/>
      <c r="G17" s="326">
        <v>100</v>
      </c>
      <c r="H17" s="325"/>
      <c r="I17" s="323">
        <v>4180</v>
      </c>
      <c r="J17" s="324"/>
      <c r="K17" s="323">
        <v>1530</v>
      </c>
      <c r="L17" s="324"/>
      <c r="M17" s="323">
        <v>25200</v>
      </c>
      <c r="N17" s="324"/>
      <c r="O17" s="323">
        <v>2560000</v>
      </c>
      <c r="P17" s="324"/>
      <c r="Q17" s="323">
        <v>516</v>
      </c>
      <c r="R17" s="324"/>
      <c r="S17" s="323">
        <v>1260</v>
      </c>
      <c r="T17" s="324"/>
      <c r="U17" s="323">
        <v>767000</v>
      </c>
    </row>
    <row r="18" spans="1:21" ht="11.25" customHeight="1">
      <c r="A18" s="723" t="s">
        <v>57</v>
      </c>
      <c r="B18" s="699"/>
      <c r="C18" s="699"/>
      <c r="D18" s="699"/>
      <c r="E18" s="699"/>
      <c r="F18" s="699"/>
      <c r="G18" s="699"/>
      <c r="H18" s="699"/>
      <c r="I18" s="699"/>
      <c r="J18" s="699"/>
      <c r="K18" s="699"/>
      <c r="L18" s="699"/>
      <c r="M18" s="699"/>
      <c r="N18" s="699"/>
      <c r="O18" s="699"/>
      <c r="P18" s="699"/>
      <c r="Q18" s="699"/>
      <c r="R18" s="699"/>
      <c r="S18" s="699"/>
      <c r="T18" s="699"/>
      <c r="U18" s="699"/>
    </row>
    <row r="19" spans="1:21" s="124" customFormat="1" ht="11.25" customHeight="1">
      <c r="A19" s="692" t="s">
        <v>822</v>
      </c>
      <c r="B19" s="699"/>
      <c r="C19" s="699"/>
      <c r="D19" s="699"/>
      <c r="E19" s="699"/>
      <c r="F19" s="699"/>
      <c r="G19" s="699"/>
      <c r="H19" s="699"/>
      <c r="I19" s="699"/>
      <c r="J19" s="699"/>
      <c r="K19" s="699"/>
      <c r="L19" s="699"/>
      <c r="M19" s="699"/>
      <c r="N19" s="699"/>
      <c r="O19" s="699"/>
      <c r="P19" s="699"/>
      <c r="Q19" s="699"/>
      <c r="R19" s="699"/>
      <c r="S19" s="699"/>
      <c r="T19" s="699"/>
      <c r="U19" s="699"/>
    </row>
    <row r="20" spans="1:21" ht="11.25" customHeight="1">
      <c r="A20" s="692" t="s">
        <v>227</v>
      </c>
      <c r="B20" s="699"/>
      <c r="C20" s="699"/>
      <c r="D20" s="699"/>
      <c r="E20" s="699"/>
      <c r="F20" s="699"/>
      <c r="G20" s="699"/>
      <c r="H20" s="699"/>
      <c r="I20" s="699"/>
      <c r="J20" s="699"/>
      <c r="K20" s="699"/>
      <c r="L20" s="699"/>
      <c r="M20" s="699"/>
      <c r="N20" s="699"/>
      <c r="O20" s="699"/>
      <c r="P20" s="699"/>
      <c r="Q20" s="699"/>
      <c r="R20" s="699"/>
      <c r="S20" s="699"/>
      <c r="T20" s="699"/>
      <c r="U20" s="699"/>
    </row>
    <row r="21" spans="1:21" ht="11.25" customHeight="1">
      <c r="A21" s="692" t="s">
        <v>75</v>
      </c>
      <c r="B21" s="699"/>
      <c r="C21" s="699"/>
      <c r="D21" s="699"/>
      <c r="E21" s="699"/>
      <c r="F21" s="699"/>
      <c r="G21" s="699"/>
      <c r="H21" s="699"/>
      <c r="I21" s="699"/>
      <c r="J21" s="699"/>
      <c r="K21" s="699"/>
      <c r="L21" s="699"/>
      <c r="M21" s="699"/>
      <c r="N21" s="699"/>
      <c r="O21" s="699"/>
      <c r="P21" s="699"/>
      <c r="Q21" s="699"/>
      <c r="R21" s="699"/>
      <c r="S21" s="699"/>
      <c r="T21" s="699"/>
      <c r="U21" s="699"/>
    </row>
    <row r="22" spans="1:21" ht="11.25" customHeight="1">
      <c r="A22" s="692" t="s">
        <v>754</v>
      </c>
      <c r="B22" s="699"/>
      <c r="C22" s="699"/>
      <c r="D22" s="699"/>
      <c r="E22" s="699"/>
      <c r="F22" s="699"/>
      <c r="G22" s="699"/>
      <c r="H22" s="699"/>
      <c r="I22" s="699"/>
      <c r="J22" s="699"/>
      <c r="K22" s="699"/>
      <c r="L22" s="699"/>
      <c r="M22" s="699"/>
      <c r="N22" s="699"/>
      <c r="O22" s="699"/>
      <c r="P22" s="699"/>
      <c r="Q22" s="699"/>
      <c r="R22" s="699"/>
      <c r="S22" s="699"/>
      <c r="T22" s="699"/>
      <c r="U22" s="699"/>
    </row>
    <row r="23" spans="1:21" ht="11.25" customHeight="1">
      <c r="A23" s="692" t="s">
        <v>76</v>
      </c>
      <c r="B23" s="699"/>
      <c r="C23" s="699"/>
      <c r="D23" s="699"/>
      <c r="E23" s="699"/>
      <c r="F23" s="699"/>
      <c r="G23" s="699"/>
      <c r="H23" s="699"/>
      <c r="I23" s="699"/>
      <c r="J23" s="699"/>
      <c r="K23" s="699"/>
      <c r="L23" s="699"/>
      <c r="M23" s="699"/>
      <c r="N23" s="699"/>
      <c r="O23" s="699"/>
      <c r="P23" s="699"/>
      <c r="Q23" s="699"/>
      <c r="R23" s="699"/>
      <c r="S23" s="699"/>
      <c r="T23" s="699"/>
      <c r="U23" s="699"/>
    </row>
    <row r="24" spans="1:21" ht="11.25" customHeight="1">
      <c r="A24" s="692" t="s">
        <v>684</v>
      </c>
      <c r="B24" s="699"/>
      <c r="C24" s="699"/>
      <c r="D24" s="699"/>
      <c r="E24" s="699"/>
      <c r="F24" s="699"/>
      <c r="G24" s="699"/>
      <c r="H24" s="699"/>
      <c r="I24" s="699"/>
      <c r="J24" s="699"/>
      <c r="K24" s="699"/>
      <c r="L24" s="699"/>
      <c r="M24" s="699"/>
      <c r="N24" s="699"/>
      <c r="O24" s="699"/>
      <c r="P24" s="699"/>
      <c r="Q24" s="699"/>
      <c r="R24" s="699"/>
      <c r="S24" s="699"/>
      <c r="T24" s="699"/>
      <c r="U24" s="699"/>
    </row>
    <row r="25" spans="1:21" ht="11.25" customHeight="1">
      <c r="A25" s="692" t="s">
        <v>77</v>
      </c>
      <c r="B25" s="699"/>
      <c r="C25" s="699"/>
      <c r="D25" s="699"/>
      <c r="E25" s="699"/>
      <c r="F25" s="699"/>
      <c r="G25" s="699"/>
      <c r="H25" s="699"/>
      <c r="I25" s="699"/>
      <c r="J25" s="699"/>
      <c r="K25" s="699"/>
      <c r="L25" s="699"/>
      <c r="M25" s="699"/>
      <c r="N25" s="699"/>
      <c r="O25" s="699"/>
      <c r="P25" s="699"/>
      <c r="Q25" s="699"/>
      <c r="R25" s="699"/>
      <c r="S25" s="699"/>
      <c r="T25" s="699"/>
      <c r="U25" s="699"/>
    </row>
    <row r="26" spans="1:21" ht="11.25" customHeight="1">
      <c r="A26" s="692" t="s">
        <v>356</v>
      </c>
      <c r="B26" s="699"/>
      <c r="C26" s="699"/>
      <c r="D26" s="699"/>
      <c r="E26" s="699"/>
      <c r="F26" s="699"/>
      <c r="G26" s="699"/>
      <c r="H26" s="699"/>
      <c r="I26" s="699"/>
      <c r="J26" s="699"/>
      <c r="K26" s="699"/>
      <c r="L26" s="699"/>
      <c r="M26" s="699"/>
      <c r="N26" s="699"/>
      <c r="O26" s="699"/>
      <c r="P26" s="699"/>
      <c r="Q26" s="699"/>
      <c r="R26" s="699"/>
      <c r="S26" s="699"/>
      <c r="T26" s="699"/>
      <c r="U26" s="699"/>
    </row>
    <row r="27" spans="1:21" ht="11.25" customHeight="1">
      <c r="A27" s="692" t="s">
        <v>409</v>
      </c>
      <c r="B27" s="699"/>
      <c r="C27" s="699"/>
      <c r="D27" s="699"/>
      <c r="E27" s="699"/>
      <c r="F27" s="699"/>
      <c r="G27" s="699"/>
      <c r="H27" s="699"/>
      <c r="I27" s="699"/>
      <c r="J27" s="699"/>
      <c r="K27" s="699"/>
      <c r="L27" s="699"/>
      <c r="M27" s="699"/>
      <c r="N27" s="699"/>
      <c r="O27" s="699"/>
      <c r="P27" s="699"/>
      <c r="Q27" s="699"/>
      <c r="R27" s="699"/>
      <c r="S27" s="699"/>
      <c r="T27" s="699"/>
      <c r="U27" s="699"/>
    </row>
    <row r="28" spans="1:21" ht="11.25" customHeight="1">
      <c r="A28" s="692" t="s">
        <v>58</v>
      </c>
      <c r="B28" s="699"/>
      <c r="C28" s="699"/>
      <c r="D28" s="699"/>
      <c r="E28" s="699"/>
      <c r="F28" s="699"/>
      <c r="G28" s="699"/>
      <c r="H28" s="699"/>
      <c r="I28" s="699"/>
      <c r="J28" s="699"/>
      <c r="K28" s="699"/>
      <c r="L28" s="699"/>
      <c r="M28" s="699"/>
      <c r="N28" s="699"/>
      <c r="O28" s="699"/>
      <c r="P28" s="699"/>
      <c r="Q28" s="699"/>
      <c r="R28" s="699"/>
      <c r="S28" s="699"/>
      <c r="T28" s="699"/>
      <c r="U28" s="699"/>
    </row>
    <row r="29" spans="1:21" ht="11.25" customHeight="1"/>
    <row r="30" spans="1:21" ht="11.25" customHeight="1"/>
    <row r="31" spans="1:21" ht="11.25" customHeight="1"/>
    <row r="32" spans="1:21" ht="11.25" customHeight="1"/>
  </sheetData>
  <mergeCells count="17">
    <mergeCell ref="C4:G4"/>
    <mergeCell ref="I4:O4"/>
    <mergeCell ref="Q4:U4"/>
    <mergeCell ref="A1:U1"/>
    <mergeCell ref="A2:U2"/>
    <mergeCell ref="A3:U3"/>
    <mergeCell ref="A18:U18"/>
    <mergeCell ref="A19:U19"/>
    <mergeCell ref="A20:U20"/>
    <mergeCell ref="A21:U21"/>
    <mergeCell ref="A22:U22"/>
    <mergeCell ref="A28:U28"/>
    <mergeCell ref="A23:U23"/>
    <mergeCell ref="A24:U24"/>
    <mergeCell ref="A25:U25"/>
    <mergeCell ref="A26:U26"/>
    <mergeCell ref="A27:U27"/>
  </mergeCells>
  <pageMargins left="0.5" right="0.5" top="0.75" bottom="0.5" header="0.3" footer="0.3"/>
  <pageSetup orientation="landscape"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8"/>
  <sheetViews>
    <sheetView zoomScaleNormal="100" workbookViewId="0">
      <selection sqref="A1:S1"/>
    </sheetView>
  </sheetViews>
  <sheetFormatPr defaultRowHeight="14"/>
  <cols>
    <col min="1" max="1" width="18.453125" customWidth="1"/>
    <col min="2" max="2" width="1.7265625" customWidth="1"/>
    <col min="3" max="3" width="7.7265625" customWidth="1"/>
    <col min="4" max="4" width="1.7265625" customWidth="1"/>
    <col min="5" max="5" width="10.26953125" customWidth="1"/>
    <col min="6" max="6" width="1.7265625" customWidth="1"/>
    <col min="7" max="7" width="7.81640625" customWidth="1"/>
    <col min="8" max="8" width="1.7265625" customWidth="1"/>
    <col min="9" max="9" width="9.81640625" customWidth="1"/>
    <col min="10" max="10" width="1.7265625" customWidth="1"/>
    <col min="12" max="12" width="1.7265625" customWidth="1"/>
    <col min="13" max="13" width="10.26953125" customWidth="1"/>
    <col min="14" max="14" width="1.7265625" customWidth="1"/>
    <col min="16" max="16" width="1.7265625" customWidth="1"/>
    <col min="18" max="18" width="1.7265625" customWidth="1"/>
    <col min="19" max="19" width="12.26953125" customWidth="1"/>
  </cols>
  <sheetData>
    <row r="1" spans="1:19" ht="11.25" customHeight="1">
      <c r="A1" s="736" t="s">
        <v>106</v>
      </c>
      <c r="B1" s="691"/>
      <c r="C1" s="691"/>
      <c r="D1" s="691"/>
      <c r="E1" s="691"/>
      <c r="F1" s="691"/>
      <c r="G1" s="691"/>
      <c r="H1" s="691"/>
      <c r="I1" s="691"/>
      <c r="J1" s="691"/>
      <c r="K1" s="691"/>
      <c r="L1" s="691"/>
      <c r="M1" s="691"/>
      <c r="N1" s="691"/>
      <c r="O1" s="691"/>
      <c r="P1" s="691"/>
      <c r="Q1" s="691"/>
      <c r="R1" s="691"/>
      <c r="S1" s="691"/>
    </row>
    <row r="2" spans="1:19" ht="11.25" customHeight="1">
      <c r="A2" s="736" t="s">
        <v>107</v>
      </c>
      <c r="B2" s="691"/>
      <c r="C2" s="691"/>
      <c r="D2" s="691"/>
      <c r="E2" s="691"/>
      <c r="F2" s="691"/>
      <c r="G2" s="691"/>
      <c r="H2" s="691"/>
      <c r="I2" s="691"/>
      <c r="J2" s="691"/>
      <c r="K2" s="691"/>
      <c r="L2" s="691"/>
      <c r="M2" s="691"/>
      <c r="N2" s="691"/>
      <c r="O2" s="691"/>
      <c r="P2" s="691"/>
      <c r="Q2" s="691"/>
      <c r="R2" s="691"/>
      <c r="S2" s="691"/>
    </row>
    <row r="3" spans="1:19" ht="11.25" customHeight="1">
      <c r="A3" s="736"/>
      <c r="B3" s="736"/>
      <c r="C3" s="736"/>
      <c r="D3" s="736"/>
      <c r="E3" s="736"/>
      <c r="F3" s="736"/>
      <c r="G3" s="736"/>
      <c r="H3" s="736"/>
      <c r="I3" s="736"/>
      <c r="J3" s="736"/>
      <c r="K3" s="736"/>
      <c r="L3" s="736"/>
      <c r="M3" s="736"/>
      <c r="N3" s="736"/>
      <c r="O3" s="736"/>
      <c r="P3" s="736"/>
      <c r="Q3" s="736"/>
      <c r="R3" s="736"/>
      <c r="S3" s="736"/>
    </row>
    <row r="4" spans="1:19" ht="11.25" customHeight="1">
      <c r="A4" s="157"/>
      <c r="B4" s="157"/>
      <c r="C4" s="738" t="s">
        <v>108</v>
      </c>
      <c r="D4" s="738"/>
      <c r="E4" s="738"/>
      <c r="F4" s="738"/>
      <c r="G4" s="738"/>
      <c r="H4" s="738"/>
      <c r="I4" s="738"/>
      <c r="J4" s="738"/>
      <c r="K4" s="738"/>
      <c r="L4" s="738"/>
      <c r="M4" s="738"/>
      <c r="N4" s="738"/>
      <c r="O4" s="738"/>
      <c r="P4" s="157"/>
      <c r="Q4" s="157"/>
      <c r="R4" s="157"/>
      <c r="S4" s="459" t="s">
        <v>40</v>
      </c>
    </row>
    <row r="5" spans="1:19" ht="11.25" customHeight="1">
      <c r="A5" s="158"/>
      <c r="B5" s="158"/>
      <c r="C5" s="738" t="s">
        <v>109</v>
      </c>
      <c r="D5" s="738"/>
      <c r="E5" s="738"/>
      <c r="F5" s="158"/>
      <c r="G5" s="738" t="s">
        <v>110</v>
      </c>
      <c r="H5" s="738"/>
      <c r="I5" s="738"/>
      <c r="J5" s="157"/>
      <c r="K5" s="738" t="s">
        <v>131</v>
      </c>
      <c r="L5" s="738"/>
      <c r="M5" s="738"/>
      <c r="N5" s="738"/>
      <c r="O5" s="738"/>
      <c r="P5" s="158"/>
      <c r="Q5" s="158" t="s">
        <v>111</v>
      </c>
      <c r="R5" s="158"/>
      <c r="S5" s="158" t="s">
        <v>112</v>
      </c>
    </row>
    <row r="6" spans="1:19" ht="11.25" customHeight="1">
      <c r="A6" s="158"/>
      <c r="B6" s="158"/>
      <c r="C6" s="158"/>
      <c r="D6" s="158"/>
      <c r="E6" s="158" t="s">
        <v>62</v>
      </c>
      <c r="F6" s="158"/>
      <c r="G6" s="158"/>
      <c r="H6" s="158"/>
      <c r="I6" s="158" t="s">
        <v>62</v>
      </c>
      <c r="J6" s="158"/>
      <c r="K6" s="158"/>
      <c r="L6" s="158"/>
      <c r="M6" s="158" t="s">
        <v>62</v>
      </c>
      <c r="N6" s="158"/>
      <c r="O6" s="158"/>
      <c r="P6" s="158"/>
      <c r="Q6" s="158" t="s">
        <v>454</v>
      </c>
      <c r="R6" s="158"/>
      <c r="S6" s="158" t="s">
        <v>482</v>
      </c>
    </row>
    <row r="7" spans="1:19" ht="11.25" customHeight="1">
      <c r="A7" s="158"/>
      <c r="B7" s="158"/>
      <c r="C7" s="158" t="s">
        <v>30</v>
      </c>
      <c r="D7" s="158"/>
      <c r="E7" s="158" t="s">
        <v>113</v>
      </c>
      <c r="F7" s="158"/>
      <c r="G7" s="158" t="s">
        <v>30</v>
      </c>
      <c r="H7" s="158"/>
      <c r="I7" s="158" t="s">
        <v>113</v>
      </c>
      <c r="J7" s="158"/>
      <c r="K7" s="158" t="s">
        <v>30</v>
      </c>
      <c r="L7" s="158"/>
      <c r="M7" s="158" t="s">
        <v>113</v>
      </c>
      <c r="N7" s="158"/>
      <c r="O7" s="158" t="s">
        <v>4</v>
      </c>
      <c r="P7" s="158"/>
      <c r="Q7" s="158" t="s">
        <v>46</v>
      </c>
      <c r="R7" s="158"/>
      <c r="S7" s="158" t="s">
        <v>114</v>
      </c>
    </row>
    <row r="8" spans="1:19" ht="11.25" customHeight="1">
      <c r="A8" s="160" t="s">
        <v>115</v>
      </c>
      <c r="B8" s="160"/>
      <c r="C8" s="159" t="s">
        <v>688</v>
      </c>
      <c r="D8" s="159"/>
      <c r="E8" s="159" t="s">
        <v>481</v>
      </c>
      <c r="F8" s="159"/>
      <c r="G8" s="159" t="s">
        <v>688</v>
      </c>
      <c r="H8" s="159"/>
      <c r="I8" s="159" t="s">
        <v>481</v>
      </c>
      <c r="J8" s="159"/>
      <c r="K8" s="159" t="s">
        <v>6</v>
      </c>
      <c r="L8" s="159"/>
      <c r="M8" s="159" t="s">
        <v>481</v>
      </c>
      <c r="N8" s="159"/>
      <c r="O8" s="159" t="s">
        <v>72</v>
      </c>
      <c r="P8" s="159"/>
      <c r="Q8" s="159" t="s">
        <v>53</v>
      </c>
      <c r="R8" s="159"/>
      <c r="S8" s="457" t="s">
        <v>116</v>
      </c>
    </row>
    <row r="9" spans="1:19" ht="11.25" customHeight="1">
      <c r="A9" s="66" t="s">
        <v>534</v>
      </c>
      <c r="B9" s="8"/>
      <c r="C9" s="503"/>
      <c r="D9" s="504"/>
      <c r="E9" s="503"/>
      <c r="F9" s="504"/>
      <c r="G9" s="503"/>
      <c r="H9" s="504"/>
      <c r="I9" s="503"/>
      <c r="J9" s="504"/>
      <c r="K9" s="503"/>
      <c r="L9" s="503"/>
      <c r="M9" s="503"/>
      <c r="N9" s="504"/>
      <c r="O9" s="503"/>
      <c r="P9" s="504"/>
      <c r="Q9" s="503"/>
      <c r="R9" s="504"/>
      <c r="S9" s="503"/>
    </row>
    <row r="10" spans="1:19" ht="11.25" customHeight="1">
      <c r="A10" s="161" t="s">
        <v>117</v>
      </c>
      <c r="B10" s="8"/>
      <c r="C10" s="9"/>
      <c r="D10" s="48"/>
      <c r="E10" s="9"/>
      <c r="F10" s="48"/>
      <c r="G10" s="9"/>
      <c r="H10" s="48"/>
      <c r="I10" s="9"/>
      <c r="J10" s="48"/>
      <c r="K10" s="9"/>
      <c r="L10" s="9"/>
      <c r="M10" s="9"/>
      <c r="N10" s="48"/>
      <c r="O10" s="9"/>
      <c r="P10" s="48"/>
      <c r="Q10" s="9"/>
      <c r="R10" s="48"/>
      <c r="S10" s="9"/>
    </row>
    <row r="11" spans="1:19" ht="11.25" customHeight="1">
      <c r="A11" s="162" t="s">
        <v>51</v>
      </c>
      <c r="B11" s="8"/>
      <c r="C11" s="445" t="s">
        <v>25</v>
      </c>
      <c r="D11" s="48"/>
      <c r="E11" s="445" t="s">
        <v>25</v>
      </c>
      <c r="F11" s="48"/>
      <c r="G11" s="5">
        <v>7</v>
      </c>
      <c r="H11" s="48"/>
      <c r="I11" s="5">
        <v>255</v>
      </c>
      <c r="J11" s="48"/>
      <c r="K11" s="5">
        <v>7</v>
      </c>
      <c r="L11" s="9"/>
      <c r="M11" s="5">
        <v>255</v>
      </c>
      <c r="N11" s="48"/>
      <c r="O11" s="5">
        <v>2</v>
      </c>
      <c r="P11" s="48"/>
      <c r="Q11" s="5">
        <v>1760</v>
      </c>
      <c r="R11" s="48"/>
      <c r="S11" s="5">
        <v>145</v>
      </c>
    </row>
    <row r="12" spans="1:19" ht="11.25" customHeight="1">
      <c r="A12" s="162" t="s">
        <v>714</v>
      </c>
      <c r="B12" s="8"/>
      <c r="C12" s="5">
        <v>2</v>
      </c>
      <c r="D12" s="48"/>
      <c r="E12" s="5">
        <v>232</v>
      </c>
      <c r="F12" s="48"/>
      <c r="G12" s="5">
        <v>85</v>
      </c>
      <c r="H12" s="47"/>
      <c r="I12" s="5">
        <v>11400</v>
      </c>
      <c r="J12" s="48"/>
      <c r="K12" s="5">
        <v>85</v>
      </c>
      <c r="L12" s="47"/>
      <c r="M12" s="5">
        <v>11600</v>
      </c>
      <c r="N12" s="48"/>
      <c r="O12" s="5">
        <v>98</v>
      </c>
      <c r="P12" s="48"/>
      <c r="Q12" s="5">
        <v>88000</v>
      </c>
      <c r="R12" s="48"/>
      <c r="S12" s="5">
        <v>132</v>
      </c>
    </row>
    <row r="13" spans="1:19" ht="11.25" customHeight="1">
      <c r="A13" s="162" t="s">
        <v>715</v>
      </c>
      <c r="B13" s="8"/>
      <c r="C13" s="446" t="s">
        <v>25</v>
      </c>
      <c r="D13" s="447"/>
      <c r="E13" s="446" t="s">
        <v>25</v>
      </c>
      <c r="F13" s="48"/>
      <c r="G13" s="445" t="s">
        <v>25</v>
      </c>
      <c r="H13" s="47"/>
      <c r="I13" s="445" t="s">
        <v>25</v>
      </c>
      <c r="J13" s="48"/>
      <c r="K13" s="445" t="s">
        <v>25</v>
      </c>
      <c r="L13" s="47"/>
      <c r="M13" s="445" t="s">
        <v>25</v>
      </c>
      <c r="N13" s="118"/>
      <c r="O13" s="445" t="s">
        <v>25</v>
      </c>
      <c r="P13" s="118"/>
      <c r="Q13" s="445" t="s">
        <v>25</v>
      </c>
      <c r="R13" s="118"/>
      <c r="S13" s="445" t="s">
        <v>25</v>
      </c>
    </row>
    <row r="14" spans="1:19" ht="11.25" customHeight="1">
      <c r="A14" s="163" t="s">
        <v>455</v>
      </c>
      <c r="B14" s="8"/>
      <c r="C14" s="5">
        <v>2</v>
      </c>
      <c r="D14" s="48"/>
      <c r="E14" s="448">
        <v>232</v>
      </c>
      <c r="F14" s="449"/>
      <c r="G14" s="448">
        <v>92</v>
      </c>
      <c r="H14" s="450"/>
      <c r="I14" s="448">
        <v>11700</v>
      </c>
      <c r="J14" s="449"/>
      <c r="K14" s="448">
        <v>92</v>
      </c>
      <c r="L14" s="450"/>
      <c r="M14" s="448">
        <v>11900</v>
      </c>
      <c r="N14" s="449"/>
      <c r="O14" s="448">
        <v>100</v>
      </c>
      <c r="P14" s="449"/>
      <c r="Q14" s="448">
        <v>89700</v>
      </c>
      <c r="R14" s="449"/>
      <c r="S14" s="448">
        <v>133</v>
      </c>
    </row>
    <row r="15" spans="1:19" ht="11.25" customHeight="1">
      <c r="A15" s="161" t="s">
        <v>716</v>
      </c>
      <c r="B15" s="8"/>
      <c r="C15" s="445" t="s">
        <v>25</v>
      </c>
      <c r="D15" s="118"/>
      <c r="E15" s="445" t="s">
        <v>25</v>
      </c>
      <c r="F15" s="48"/>
      <c r="G15" s="5">
        <v>4</v>
      </c>
      <c r="H15" s="48"/>
      <c r="I15" s="5">
        <v>101</v>
      </c>
      <c r="J15" s="48"/>
      <c r="K15" s="5">
        <v>4</v>
      </c>
      <c r="L15" s="451"/>
      <c r="M15" s="5">
        <v>101</v>
      </c>
      <c r="N15" s="48"/>
      <c r="O15" s="445" t="s">
        <v>25</v>
      </c>
      <c r="P15" s="48"/>
      <c r="Q15" s="5">
        <v>1320</v>
      </c>
      <c r="R15" s="48"/>
      <c r="S15" s="5">
        <v>77</v>
      </c>
    </row>
    <row r="16" spans="1:19" ht="11.25" customHeight="1">
      <c r="A16" s="164" t="s">
        <v>717</v>
      </c>
      <c r="B16" s="53"/>
      <c r="C16" s="446" t="s">
        <v>25</v>
      </c>
      <c r="D16" s="452"/>
      <c r="E16" s="446" t="s">
        <v>25</v>
      </c>
      <c r="F16" s="447"/>
      <c r="G16" s="453">
        <v>2</v>
      </c>
      <c r="H16" s="447"/>
      <c r="I16" s="454" t="s">
        <v>118</v>
      </c>
      <c r="J16" s="447"/>
      <c r="K16" s="453">
        <v>2</v>
      </c>
      <c r="L16" s="455"/>
      <c r="M16" s="454" t="s">
        <v>118</v>
      </c>
      <c r="N16" s="447"/>
      <c r="O16" s="446" t="s">
        <v>25</v>
      </c>
      <c r="P16" s="447"/>
      <c r="Q16" s="456">
        <v>163</v>
      </c>
      <c r="R16" s="447"/>
      <c r="S16" s="454" t="s">
        <v>118</v>
      </c>
    </row>
    <row r="17" spans="1:20" ht="11.25" customHeight="1">
      <c r="A17" s="66" t="s">
        <v>726</v>
      </c>
      <c r="B17" s="8"/>
      <c r="C17" s="503"/>
      <c r="D17" s="504"/>
      <c r="E17" s="503"/>
      <c r="F17" s="504"/>
      <c r="G17" s="503"/>
      <c r="H17" s="504"/>
      <c r="I17" s="503"/>
      <c r="J17" s="504"/>
      <c r="K17" s="503"/>
      <c r="L17" s="503"/>
      <c r="M17" s="503"/>
      <c r="N17" s="504"/>
      <c r="O17" s="503"/>
      <c r="P17" s="504"/>
      <c r="Q17" s="503"/>
      <c r="R17" s="504"/>
      <c r="S17" s="503"/>
    </row>
    <row r="18" spans="1:20" ht="11.25" customHeight="1">
      <c r="A18" s="161" t="s">
        <v>117</v>
      </c>
      <c r="B18" s="8"/>
      <c r="C18" s="9"/>
      <c r="D18" s="48"/>
      <c r="E18" s="9"/>
      <c r="F18" s="48"/>
      <c r="G18" s="9"/>
      <c r="H18" s="48"/>
      <c r="I18" s="9"/>
      <c r="J18" s="48"/>
      <c r="K18" s="9"/>
      <c r="L18" s="9"/>
      <c r="M18" s="9"/>
      <c r="N18" s="48"/>
      <c r="O18" s="9"/>
      <c r="P18" s="48"/>
      <c r="Q18" s="9"/>
      <c r="R18" s="48"/>
      <c r="S18" s="9"/>
    </row>
    <row r="19" spans="1:20" ht="11.25" customHeight="1">
      <c r="A19" s="162" t="s">
        <v>51</v>
      </c>
      <c r="B19" s="8"/>
      <c r="C19" s="445" t="s">
        <v>25</v>
      </c>
      <c r="D19" s="48"/>
      <c r="E19" s="445" t="s">
        <v>25</v>
      </c>
      <c r="F19" s="48"/>
      <c r="G19" s="5">
        <v>7</v>
      </c>
      <c r="H19" s="48"/>
      <c r="I19" s="5">
        <v>246</v>
      </c>
      <c r="J19" s="48"/>
      <c r="K19" s="5">
        <v>7</v>
      </c>
      <c r="L19" s="9"/>
      <c r="M19" s="5">
        <v>246</v>
      </c>
      <c r="N19" s="48"/>
      <c r="O19" s="5">
        <v>2</v>
      </c>
      <c r="P19" s="48"/>
      <c r="Q19" s="5">
        <v>1730</v>
      </c>
      <c r="R19" s="48"/>
      <c r="S19" s="5">
        <v>142</v>
      </c>
      <c r="T19" s="399"/>
    </row>
    <row r="20" spans="1:20" ht="11.25" customHeight="1">
      <c r="A20" s="162" t="s">
        <v>714</v>
      </c>
      <c r="B20" s="8"/>
      <c r="C20" s="5">
        <v>2</v>
      </c>
      <c r="D20" s="48"/>
      <c r="E20" s="5">
        <v>262</v>
      </c>
      <c r="F20" s="48"/>
      <c r="G20" s="5">
        <v>84</v>
      </c>
      <c r="H20" s="47"/>
      <c r="I20" s="5">
        <v>11200</v>
      </c>
      <c r="J20" s="48"/>
      <c r="K20" s="5">
        <v>84</v>
      </c>
      <c r="L20" s="47"/>
      <c r="M20" s="5">
        <v>11500</v>
      </c>
      <c r="N20" s="48"/>
      <c r="O20" s="5">
        <v>98</v>
      </c>
      <c r="P20" s="48"/>
      <c r="Q20" s="5">
        <v>86600</v>
      </c>
      <c r="R20" s="48"/>
      <c r="S20" s="5">
        <v>133</v>
      </c>
      <c r="T20" s="399"/>
    </row>
    <row r="21" spans="1:20" ht="11.25" customHeight="1">
      <c r="A21" s="162" t="s">
        <v>715</v>
      </c>
      <c r="B21" s="8"/>
      <c r="C21" s="446" t="s">
        <v>25</v>
      </c>
      <c r="D21" s="447"/>
      <c r="E21" s="446" t="s">
        <v>25</v>
      </c>
      <c r="F21" s="48"/>
      <c r="G21" s="445" t="s">
        <v>25</v>
      </c>
      <c r="H21" s="47"/>
      <c r="I21" s="445" t="s">
        <v>25</v>
      </c>
      <c r="J21" s="48"/>
      <c r="K21" s="445" t="s">
        <v>25</v>
      </c>
      <c r="L21" s="47"/>
      <c r="M21" s="445" t="s">
        <v>25</v>
      </c>
      <c r="N21" s="118"/>
      <c r="O21" s="445" t="s">
        <v>25</v>
      </c>
      <c r="P21" s="118"/>
      <c r="Q21" s="445" t="s">
        <v>25</v>
      </c>
      <c r="R21" s="118"/>
      <c r="S21" s="445" t="s">
        <v>25</v>
      </c>
    </row>
    <row r="22" spans="1:20" ht="11.25" customHeight="1">
      <c r="A22" s="163" t="s">
        <v>455</v>
      </c>
      <c r="B22" s="8"/>
      <c r="C22" s="5">
        <v>2</v>
      </c>
      <c r="D22" s="48"/>
      <c r="E22" s="448">
        <v>262</v>
      </c>
      <c r="F22" s="449"/>
      <c r="G22" s="448">
        <v>91</v>
      </c>
      <c r="H22" s="450"/>
      <c r="I22" s="448">
        <v>11500</v>
      </c>
      <c r="J22" s="449"/>
      <c r="K22" s="448">
        <v>91</v>
      </c>
      <c r="L22" s="450"/>
      <c r="M22" s="448">
        <v>11700</v>
      </c>
      <c r="N22" s="449"/>
      <c r="O22" s="448">
        <v>100</v>
      </c>
      <c r="P22" s="449"/>
      <c r="Q22" s="448">
        <v>88300</v>
      </c>
      <c r="R22" s="449"/>
      <c r="S22" s="448">
        <v>133</v>
      </c>
    </row>
    <row r="23" spans="1:20" ht="11.25" customHeight="1">
      <c r="A23" s="161" t="s">
        <v>716</v>
      </c>
      <c r="B23" s="8"/>
      <c r="C23" s="445" t="s">
        <v>25</v>
      </c>
      <c r="D23" s="118"/>
      <c r="E23" s="445" t="s">
        <v>25</v>
      </c>
      <c r="F23" s="48"/>
      <c r="G23" s="5">
        <v>4</v>
      </c>
      <c r="H23" s="48"/>
      <c r="I23" s="5">
        <v>89</v>
      </c>
      <c r="J23" s="48"/>
      <c r="K23" s="5">
        <v>4</v>
      </c>
      <c r="L23" s="451"/>
      <c r="M23" s="5">
        <v>89</v>
      </c>
      <c r="N23" s="48"/>
      <c r="O23" s="445" t="s">
        <v>25</v>
      </c>
      <c r="P23" s="48"/>
      <c r="Q23" s="5">
        <v>1270</v>
      </c>
      <c r="R23" s="48"/>
      <c r="S23" s="5">
        <v>70</v>
      </c>
    </row>
    <row r="24" spans="1:20" ht="11.25" customHeight="1">
      <c r="A24" s="164" t="s">
        <v>717</v>
      </c>
      <c r="B24" s="53"/>
      <c r="C24" s="446" t="s">
        <v>25</v>
      </c>
      <c r="D24" s="452"/>
      <c r="E24" s="446" t="s">
        <v>25</v>
      </c>
      <c r="F24" s="447"/>
      <c r="G24" s="453">
        <v>2</v>
      </c>
      <c r="H24" s="447"/>
      <c r="I24" s="454" t="s">
        <v>118</v>
      </c>
      <c r="J24" s="447"/>
      <c r="K24" s="453">
        <v>2</v>
      </c>
      <c r="L24" s="455"/>
      <c r="M24" s="454" t="s">
        <v>118</v>
      </c>
      <c r="N24" s="447"/>
      <c r="O24" s="446" t="s">
        <v>25</v>
      </c>
      <c r="P24" s="447"/>
      <c r="Q24" s="456">
        <v>165</v>
      </c>
      <c r="R24" s="447"/>
      <c r="S24" s="454" t="s">
        <v>118</v>
      </c>
    </row>
    <row r="25" spans="1:20" ht="11.25" customHeight="1">
      <c r="A25" s="737" t="s">
        <v>832</v>
      </c>
      <c r="B25" s="735"/>
      <c r="C25" s="735"/>
      <c r="D25" s="735"/>
      <c r="E25" s="735"/>
      <c r="F25" s="735"/>
      <c r="G25" s="735"/>
      <c r="H25" s="735"/>
      <c r="I25" s="735"/>
      <c r="J25" s="735"/>
      <c r="K25" s="735"/>
      <c r="L25" s="735"/>
      <c r="M25" s="735"/>
      <c r="N25" s="735"/>
      <c r="O25" s="735"/>
      <c r="P25" s="735"/>
      <c r="Q25" s="735"/>
      <c r="R25" s="735"/>
      <c r="S25" s="735"/>
      <c r="T25" s="234"/>
    </row>
    <row r="26" spans="1:20" ht="11.25" customHeight="1">
      <c r="A26" s="692" t="s">
        <v>822</v>
      </c>
      <c r="B26" s="699"/>
      <c r="C26" s="699"/>
      <c r="D26" s="699"/>
      <c r="E26" s="699"/>
      <c r="F26" s="699"/>
      <c r="G26" s="699"/>
      <c r="H26" s="699"/>
      <c r="I26" s="699"/>
      <c r="J26" s="699"/>
      <c r="K26" s="699"/>
      <c r="L26" s="699"/>
      <c r="M26" s="699"/>
      <c r="N26" s="699"/>
      <c r="O26" s="699"/>
      <c r="P26" s="699"/>
      <c r="Q26" s="699"/>
      <c r="R26" s="699"/>
      <c r="S26" s="699"/>
      <c r="T26" s="132"/>
    </row>
    <row r="27" spans="1:20" ht="11.25" customHeight="1">
      <c r="A27" s="692" t="s">
        <v>227</v>
      </c>
      <c r="B27" s="692"/>
      <c r="C27" s="692"/>
      <c r="D27" s="692"/>
      <c r="E27" s="692"/>
      <c r="F27" s="692"/>
      <c r="G27" s="692"/>
      <c r="H27" s="692"/>
      <c r="I27" s="692"/>
      <c r="J27" s="692"/>
      <c r="K27" s="692"/>
      <c r="L27" s="692"/>
      <c r="M27" s="692"/>
      <c r="N27" s="692"/>
      <c r="O27" s="692"/>
      <c r="P27" s="692"/>
      <c r="Q27" s="692"/>
      <c r="R27" s="692"/>
      <c r="S27" s="692"/>
    </row>
    <row r="28" spans="1:20" ht="11.25" customHeight="1">
      <c r="A28" s="693" t="s">
        <v>456</v>
      </c>
      <c r="B28" s="692"/>
      <c r="C28" s="692"/>
      <c r="D28" s="692"/>
      <c r="E28" s="692"/>
      <c r="F28" s="692"/>
      <c r="G28" s="692"/>
      <c r="H28" s="692"/>
      <c r="I28" s="692"/>
      <c r="J28" s="692"/>
      <c r="K28" s="692"/>
      <c r="L28" s="692"/>
      <c r="M28" s="692"/>
      <c r="N28" s="692"/>
      <c r="O28" s="692"/>
      <c r="P28" s="692"/>
      <c r="Q28" s="692"/>
      <c r="R28" s="692"/>
      <c r="S28" s="692"/>
    </row>
    <row r="29" spans="1:20" ht="11.25" customHeight="1">
      <c r="A29" s="733" t="s">
        <v>457</v>
      </c>
      <c r="B29" s="734"/>
      <c r="C29" s="734"/>
      <c r="D29" s="734"/>
      <c r="E29" s="734"/>
      <c r="F29" s="734"/>
      <c r="G29" s="734"/>
      <c r="H29" s="734"/>
      <c r="I29" s="734"/>
      <c r="J29" s="734"/>
      <c r="K29" s="734"/>
      <c r="L29" s="734"/>
      <c r="M29" s="734"/>
      <c r="N29" s="734"/>
      <c r="O29" s="734"/>
      <c r="P29" s="734"/>
      <c r="Q29" s="734"/>
      <c r="R29" s="734"/>
      <c r="S29" s="734"/>
    </row>
    <row r="30" spans="1:20" ht="11.25" customHeight="1">
      <c r="A30" s="692" t="s">
        <v>755</v>
      </c>
      <c r="B30" s="735"/>
      <c r="C30" s="735"/>
      <c r="D30" s="735"/>
      <c r="E30" s="735"/>
      <c r="F30" s="735"/>
      <c r="G30" s="735"/>
      <c r="H30" s="735"/>
      <c r="I30" s="735"/>
      <c r="J30" s="735"/>
      <c r="K30" s="735"/>
      <c r="L30" s="735"/>
      <c r="M30" s="735"/>
      <c r="N30" s="735"/>
      <c r="O30" s="735"/>
      <c r="P30" s="735"/>
      <c r="Q30" s="735"/>
      <c r="R30" s="735"/>
      <c r="S30" s="735"/>
      <c r="T30" s="132"/>
    </row>
    <row r="31" spans="1:20" ht="11.25" customHeight="1">
      <c r="A31" s="692" t="s">
        <v>685</v>
      </c>
      <c r="B31" s="692"/>
      <c r="C31" s="692"/>
      <c r="D31" s="692"/>
      <c r="E31" s="692"/>
      <c r="F31" s="692"/>
      <c r="G31" s="692"/>
      <c r="H31" s="692"/>
      <c r="I31" s="692"/>
      <c r="J31" s="692"/>
      <c r="K31" s="692"/>
      <c r="L31" s="692"/>
      <c r="M31" s="692"/>
      <c r="N31" s="692"/>
      <c r="O31" s="692"/>
      <c r="P31" s="692"/>
      <c r="Q31" s="692"/>
      <c r="R31" s="692"/>
      <c r="S31" s="692"/>
    </row>
    <row r="32" spans="1:20" ht="11.25" customHeight="1">
      <c r="A32" s="734" t="s">
        <v>686</v>
      </c>
      <c r="B32" s="734"/>
      <c r="C32" s="734"/>
      <c r="D32" s="734"/>
      <c r="E32" s="734"/>
      <c r="F32" s="734"/>
      <c r="G32" s="734"/>
      <c r="H32" s="734"/>
      <c r="I32" s="734"/>
      <c r="J32" s="734"/>
      <c r="K32" s="734"/>
      <c r="L32" s="734"/>
      <c r="M32" s="734"/>
      <c r="N32" s="734"/>
      <c r="O32" s="734"/>
      <c r="P32" s="734"/>
      <c r="Q32" s="734"/>
      <c r="R32" s="734"/>
      <c r="S32" s="734"/>
    </row>
    <row r="33" spans="1:19" ht="22.5" customHeight="1">
      <c r="A33" s="732" t="s">
        <v>838</v>
      </c>
      <c r="B33" s="700"/>
      <c r="C33" s="700"/>
      <c r="D33" s="700"/>
      <c r="E33" s="700"/>
      <c r="F33" s="700"/>
      <c r="G33" s="700"/>
      <c r="H33" s="700"/>
      <c r="I33" s="700"/>
      <c r="J33" s="700"/>
      <c r="K33" s="700"/>
      <c r="L33" s="700"/>
      <c r="M33" s="700"/>
      <c r="N33" s="700"/>
      <c r="O33" s="700"/>
      <c r="P33" s="700"/>
      <c r="Q33" s="700"/>
      <c r="R33" s="700"/>
      <c r="S33" s="700"/>
    </row>
    <row r="34" spans="1:19" ht="11.25" customHeight="1">
      <c r="A34" s="733" t="s">
        <v>687</v>
      </c>
      <c r="B34" s="734"/>
      <c r="C34" s="734"/>
      <c r="D34" s="734"/>
      <c r="E34" s="734"/>
      <c r="F34" s="734"/>
      <c r="G34" s="734"/>
      <c r="H34" s="734"/>
      <c r="I34" s="734"/>
      <c r="J34" s="734"/>
      <c r="K34" s="734"/>
      <c r="L34" s="734"/>
      <c r="M34" s="734"/>
      <c r="N34" s="734"/>
      <c r="O34" s="734"/>
      <c r="P34" s="734"/>
      <c r="Q34" s="734"/>
      <c r="R34" s="734"/>
      <c r="S34" s="734"/>
    </row>
    <row r="35" spans="1:19" ht="11.25" customHeight="1">
      <c r="A35" s="99"/>
      <c r="B35" s="132"/>
      <c r="C35" s="132"/>
      <c r="D35" s="132"/>
      <c r="E35" s="132"/>
      <c r="F35" s="132"/>
      <c r="G35" s="132"/>
      <c r="H35" s="132"/>
      <c r="I35" s="132"/>
      <c r="J35" s="132"/>
      <c r="K35" s="132"/>
      <c r="L35" s="132"/>
      <c r="M35" s="132"/>
      <c r="N35" s="132"/>
      <c r="O35" s="132"/>
      <c r="P35" s="132"/>
      <c r="Q35" s="132"/>
      <c r="R35" s="132"/>
      <c r="S35" s="132"/>
    </row>
    <row r="36" spans="1:19" ht="11.25" customHeight="1"/>
    <row r="37" spans="1:19" ht="11.25" customHeight="1"/>
    <row r="38" spans="1:19" ht="11.25" customHeight="1"/>
  </sheetData>
  <mergeCells count="17">
    <mergeCell ref="A1:S1"/>
    <mergeCell ref="A2:S2"/>
    <mergeCell ref="A3:S3"/>
    <mergeCell ref="A25:S25"/>
    <mergeCell ref="A26:S26"/>
    <mergeCell ref="C4:O4"/>
    <mergeCell ref="C5:E5"/>
    <mergeCell ref="G5:I5"/>
    <mergeCell ref="K5:O5"/>
    <mergeCell ref="A33:S33"/>
    <mergeCell ref="A34:S34"/>
    <mergeCell ref="A27:S27"/>
    <mergeCell ref="A28:S28"/>
    <mergeCell ref="A29:S29"/>
    <mergeCell ref="A31:S31"/>
    <mergeCell ref="A32:S32"/>
    <mergeCell ref="A30:S30"/>
  </mergeCells>
  <pageMargins left="0.5" right="0.5" top="0.75" bottom="0.5" header="0.3" footer="0.3"/>
  <pageSetup orientation="landscape"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00"/>
  <sheetViews>
    <sheetView topLeftCell="A60" zoomScaleNormal="100" workbookViewId="0">
      <selection activeCell="A84" sqref="A84:I84"/>
    </sheetView>
  </sheetViews>
  <sheetFormatPr defaultRowHeight="14"/>
  <cols>
    <col min="1" max="1" width="33.7265625" customWidth="1"/>
    <col min="2" max="2" width="1.7265625" customWidth="1"/>
    <col min="3" max="3" width="8.7265625" customWidth="1"/>
    <col min="4" max="4" width="1.7265625" customWidth="1"/>
    <col min="5" max="5" width="8.7265625" customWidth="1"/>
    <col min="6" max="6" width="2.7265625" customWidth="1"/>
    <col min="7" max="7" width="8.7265625" customWidth="1"/>
    <col min="8" max="8" width="1.7265625" customWidth="1"/>
    <col min="9" max="9" width="8.7265625" customWidth="1"/>
    <col min="12" max="13" width="11" customWidth="1"/>
  </cols>
  <sheetData>
    <row r="1" spans="1:14" ht="11.25" customHeight="1">
      <c r="A1" s="743" t="s">
        <v>228</v>
      </c>
      <c r="B1" s="743"/>
      <c r="C1" s="743"/>
      <c r="D1" s="743"/>
      <c r="E1" s="743"/>
      <c r="F1" s="743"/>
      <c r="G1" s="743"/>
      <c r="H1" s="743"/>
      <c r="I1" s="743"/>
      <c r="L1" s="4"/>
    </row>
    <row r="2" spans="1:14" ht="11.25" customHeight="1">
      <c r="A2" s="743" t="s">
        <v>530</v>
      </c>
      <c r="B2" s="743"/>
      <c r="C2" s="743"/>
      <c r="D2" s="743"/>
      <c r="E2" s="743"/>
      <c r="F2" s="743"/>
      <c r="G2" s="743"/>
      <c r="H2" s="743"/>
      <c r="I2" s="743"/>
      <c r="L2" s="4"/>
    </row>
    <row r="3" spans="1:14" ht="11.25" customHeight="1">
      <c r="A3" s="744"/>
      <c r="B3" s="745"/>
      <c r="C3" s="745"/>
      <c r="D3" s="745"/>
      <c r="E3" s="745"/>
      <c r="F3" s="745"/>
      <c r="G3" s="745"/>
      <c r="H3" s="745"/>
      <c r="I3" s="745"/>
      <c r="L3" s="4"/>
    </row>
    <row r="4" spans="1:14" ht="11.25" customHeight="1">
      <c r="A4" s="743" t="s">
        <v>80</v>
      </c>
      <c r="B4" s="743"/>
      <c r="C4" s="743"/>
      <c r="D4" s="743"/>
      <c r="E4" s="743"/>
      <c r="F4" s="743"/>
      <c r="G4" s="743"/>
      <c r="H4" s="743"/>
      <c r="I4" s="743"/>
      <c r="L4" s="4"/>
    </row>
    <row r="5" spans="1:14" ht="11.25" customHeight="1">
      <c r="A5" s="746"/>
      <c r="B5" s="747"/>
      <c r="C5" s="747"/>
      <c r="D5" s="747"/>
      <c r="E5" s="747"/>
      <c r="F5" s="747"/>
      <c r="G5" s="747"/>
      <c r="H5" s="747"/>
      <c r="I5" s="747"/>
      <c r="L5" s="4"/>
    </row>
    <row r="6" spans="1:14" ht="11.25" customHeight="1">
      <c r="A6" s="165"/>
      <c r="B6" s="165"/>
      <c r="C6" s="740" t="s">
        <v>523</v>
      </c>
      <c r="D6" s="740"/>
      <c r="E6" s="740"/>
      <c r="F6" s="165"/>
      <c r="G6" s="740" t="s">
        <v>229</v>
      </c>
      <c r="H6" s="740"/>
      <c r="I6" s="740"/>
      <c r="L6" s="4"/>
    </row>
    <row r="7" spans="1:14" ht="11.25" customHeight="1">
      <c r="A7" s="166" t="s">
        <v>230</v>
      </c>
      <c r="B7" s="166"/>
      <c r="C7" s="327" t="s">
        <v>533</v>
      </c>
      <c r="D7" s="166"/>
      <c r="E7" s="327" t="s">
        <v>724</v>
      </c>
      <c r="F7" s="166"/>
      <c r="G7" s="327" t="s">
        <v>533</v>
      </c>
      <c r="H7" s="166"/>
      <c r="I7" s="327" t="s">
        <v>724</v>
      </c>
      <c r="L7" s="4"/>
    </row>
    <row r="8" spans="1:14" ht="11.25" customHeight="1">
      <c r="A8" s="167" t="s">
        <v>231</v>
      </c>
      <c r="B8" s="26"/>
      <c r="C8" s="27"/>
      <c r="D8" s="27"/>
      <c r="E8" s="27"/>
      <c r="F8" s="27"/>
      <c r="G8" s="27"/>
      <c r="I8" s="27"/>
      <c r="L8" s="4"/>
    </row>
    <row r="9" spans="1:14" ht="11.25" customHeight="1">
      <c r="A9" s="170" t="s">
        <v>232</v>
      </c>
      <c r="B9" s="26"/>
      <c r="C9" s="328">
        <v>1660</v>
      </c>
      <c r="D9" s="331"/>
      <c r="E9" s="328">
        <v>1672</v>
      </c>
      <c r="F9" s="331"/>
      <c r="G9" s="35">
        <v>86</v>
      </c>
      <c r="I9" s="35">
        <v>75</v>
      </c>
      <c r="L9" s="4"/>
      <c r="N9" s="257"/>
    </row>
    <row r="10" spans="1:14" ht="11.25" customHeight="1">
      <c r="A10" s="170" t="s">
        <v>233</v>
      </c>
      <c r="B10" s="26"/>
      <c r="C10" s="328">
        <v>132</v>
      </c>
      <c r="D10" s="331"/>
      <c r="E10" s="328">
        <v>175</v>
      </c>
      <c r="F10" s="331"/>
      <c r="G10" s="122" t="s">
        <v>25</v>
      </c>
      <c r="I10" s="372" t="s">
        <v>240</v>
      </c>
      <c r="L10" s="265"/>
      <c r="N10" s="257"/>
    </row>
    <row r="11" spans="1:14" ht="11.25" customHeight="1">
      <c r="A11" s="170" t="s">
        <v>234</v>
      </c>
      <c r="B11" s="26"/>
      <c r="C11" s="328">
        <v>3464</v>
      </c>
      <c r="D11" s="331"/>
      <c r="E11" s="328">
        <v>3425</v>
      </c>
      <c r="F11" s="331"/>
      <c r="G11" s="35">
        <v>52</v>
      </c>
      <c r="I11" s="35">
        <v>56</v>
      </c>
      <c r="L11" s="4"/>
      <c r="N11" s="257"/>
    </row>
    <row r="12" spans="1:14" ht="11.25" customHeight="1">
      <c r="A12" s="170" t="s">
        <v>235</v>
      </c>
      <c r="B12" s="26"/>
      <c r="C12" s="328">
        <v>950</v>
      </c>
      <c r="D12" s="331"/>
      <c r="E12" s="328">
        <v>1088</v>
      </c>
      <c r="F12" s="331"/>
      <c r="G12" s="35">
        <v>40</v>
      </c>
      <c r="I12" s="35">
        <v>31</v>
      </c>
      <c r="L12" s="4"/>
      <c r="N12" s="257"/>
    </row>
    <row r="13" spans="1:14" ht="11.25" customHeight="1">
      <c r="A13" s="170" t="s">
        <v>198</v>
      </c>
      <c r="B13" s="26"/>
      <c r="C13" s="328">
        <v>3680</v>
      </c>
      <c r="D13" s="331"/>
      <c r="E13" s="328">
        <v>3199</v>
      </c>
      <c r="F13" s="331"/>
      <c r="G13" s="35">
        <v>29</v>
      </c>
      <c r="I13" s="35">
        <v>23</v>
      </c>
      <c r="L13" s="4"/>
      <c r="N13" s="257"/>
    </row>
    <row r="14" spans="1:14" ht="11.25" customHeight="1">
      <c r="A14" s="170" t="s">
        <v>200</v>
      </c>
      <c r="B14" s="26"/>
      <c r="C14" s="328">
        <v>6831</v>
      </c>
      <c r="D14" s="331"/>
      <c r="E14" s="328">
        <v>6160</v>
      </c>
      <c r="F14" s="331"/>
      <c r="G14" s="35">
        <v>127</v>
      </c>
      <c r="I14" s="35">
        <v>123</v>
      </c>
      <c r="L14" s="4"/>
      <c r="N14" s="257"/>
    </row>
    <row r="15" spans="1:14" ht="11.25" customHeight="1">
      <c r="A15" s="170" t="s">
        <v>236</v>
      </c>
      <c r="B15" s="26"/>
      <c r="C15" s="328">
        <v>2417</v>
      </c>
      <c r="D15" s="331"/>
      <c r="E15" s="328">
        <v>2221</v>
      </c>
      <c r="F15" s="331"/>
      <c r="G15" s="35">
        <v>18</v>
      </c>
      <c r="I15" s="35">
        <v>28</v>
      </c>
      <c r="L15" s="4"/>
      <c r="N15" s="257"/>
    </row>
    <row r="16" spans="1:14" ht="11.25" customHeight="1">
      <c r="A16" s="170" t="s">
        <v>237</v>
      </c>
      <c r="B16" s="26"/>
      <c r="C16" s="328">
        <v>528</v>
      </c>
      <c r="D16" s="331"/>
      <c r="E16" s="328">
        <v>571</v>
      </c>
      <c r="F16" s="331"/>
      <c r="G16" s="35">
        <v>15</v>
      </c>
      <c r="I16" s="35">
        <v>15</v>
      </c>
      <c r="L16" s="4"/>
      <c r="N16" s="257"/>
    </row>
    <row r="17" spans="1:14" ht="11.25" customHeight="1">
      <c r="A17" s="170" t="s">
        <v>238</v>
      </c>
      <c r="B17" s="26"/>
      <c r="C17" s="328">
        <v>201</v>
      </c>
      <c r="D17" s="331"/>
      <c r="E17" s="328">
        <v>203</v>
      </c>
      <c r="F17" s="331"/>
      <c r="G17" s="35">
        <v>4</v>
      </c>
      <c r="I17" s="35">
        <v>4</v>
      </c>
      <c r="L17" s="4"/>
      <c r="N17" s="257"/>
    </row>
    <row r="18" spans="1:14" ht="11.25" customHeight="1">
      <c r="A18" s="170" t="s">
        <v>239</v>
      </c>
      <c r="B18" s="26"/>
      <c r="C18" s="328">
        <v>160</v>
      </c>
      <c r="D18" s="331"/>
      <c r="E18" s="328">
        <v>154</v>
      </c>
      <c r="F18" s="331"/>
      <c r="G18" s="122" t="s">
        <v>25</v>
      </c>
      <c r="I18" s="122" t="s">
        <v>25</v>
      </c>
      <c r="L18" s="61"/>
      <c r="N18" s="257"/>
    </row>
    <row r="19" spans="1:14" ht="11.25" customHeight="1">
      <c r="A19" s="170" t="s">
        <v>774</v>
      </c>
      <c r="B19" s="26"/>
      <c r="C19" s="328">
        <v>9054</v>
      </c>
      <c r="D19" s="331"/>
      <c r="E19" s="328">
        <v>8766</v>
      </c>
      <c r="F19" s="331"/>
      <c r="G19" s="35">
        <v>589</v>
      </c>
      <c r="I19" s="35">
        <v>615</v>
      </c>
      <c r="L19" s="4"/>
      <c r="N19" s="257"/>
    </row>
    <row r="20" spans="1:14" ht="11.25" customHeight="1">
      <c r="A20" s="170" t="s">
        <v>775</v>
      </c>
      <c r="B20" s="26"/>
      <c r="C20" s="328">
        <v>3736</v>
      </c>
      <c r="D20" s="331"/>
      <c r="E20" s="328">
        <v>3924</v>
      </c>
      <c r="F20" s="331"/>
      <c r="G20" s="35">
        <v>153</v>
      </c>
      <c r="I20" s="35">
        <v>149</v>
      </c>
      <c r="L20" s="4"/>
      <c r="N20" s="257"/>
    </row>
    <row r="21" spans="1:14" ht="11.25" customHeight="1">
      <c r="A21" s="170" t="s">
        <v>242</v>
      </c>
      <c r="B21" s="26"/>
      <c r="C21" s="328">
        <v>284</v>
      </c>
      <c r="D21" s="331"/>
      <c r="E21" s="328">
        <v>293</v>
      </c>
      <c r="F21" s="331"/>
      <c r="G21" s="35">
        <v>3</v>
      </c>
      <c r="I21" s="35">
        <v>2</v>
      </c>
      <c r="L21" s="4"/>
      <c r="N21" s="257"/>
    </row>
    <row r="22" spans="1:14" ht="11.25" customHeight="1">
      <c r="A22" s="170" t="s">
        <v>243</v>
      </c>
      <c r="B22" s="26"/>
      <c r="C22" s="328">
        <v>806</v>
      </c>
      <c r="D22" s="331"/>
      <c r="E22" s="328">
        <v>793</v>
      </c>
      <c r="F22" s="331"/>
      <c r="G22" s="122" t="s">
        <v>25</v>
      </c>
      <c r="I22" s="122" t="s">
        <v>25</v>
      </c>
      <c r="L22" s="265"/>
      <c r="N22" s="257"/>
    </row>
    <row r="23" spans="1:14" ht="11.25" customHeight="1">
      <c r="A23" s="170" t="s">
        <v>202</v>
      </c>
      <c r="B23" s="26"/>
      <c r="C23" s="328">
        <v>1443</v>
      </c>
      <c r="D23" s="331"/>
      <c r="E23" s="328">
        <v>1498</v>
      </c>
      <c r="F23" s="331"/>
      <c r="G23" s="35">
        <v>4</v>
      </c>
      <c r="I23" s="35">
        <v>4</v>
      </c>
      <c r="L23" s="4"/>
      <c r="N23" s="257"/>
    </row>
    <row r="24" spans="1:14" ht="11.25" customHeight="1">
      <c r="A24" s="170" t="s">
        <v>244</v>
      </c>
      <c r="B24" s="26"/>
      <c r="C24" s="328">
        <v>1502</v>
      </c>
      <c r="D24" s="331"/>
      <c r="E24" s="328">
        <v>1426</v>
      </c>
      <c r="F24" s="331"/>
      <c r="G24" s="35">
        <v>15</v>
      </c>
      <c r="I24" s="35">
        <v>12</v>
      </c>
      <c r="L24" s="4"/>
      <c r="N24" s="257"/>
    </row>
    <row r="25" spans="1:14" ht="11.25" customHeight="1">
      <c r="A25" s="170" t="s">
        <v>10</v>
      </c>
      <c r="B25" s="26"/>
      <c r="C25" s="328">
        <v>2418</v>
      </c>
      <c r="D25" s="331"/>
      <c r="E25" s="328">
        <v>2364</v>
      </c>
      <c r="F25" s="331"/>
      <c r="G25" s="35">
        <v>36</v>
      </c>
      <c r="I25" s="35">
        <v>37</v>
      </c>
      <c r="L25" s="4"/>
      <c r="N25" s="257"/>
    </row>
    <row r="26" spans="1:14" ht="11.25" customHeight="1">
      <c r="A26" s="170" t="s">
        <v>245</v>
      </c>
      <c r="B26" s="26"/>
      <c r="C26" s="328">
        <v>2042</v>
      </c>
      <c r="D26" s="331"/>
      <c r="E26" s="328">
        <v>1894</v>
      </c>
      <c r="F26" s="331"/>
      <c r="G26" s="35">
        <v>2</v>
      </c>
      <c r="I26" s="35">
        <v>1</v>
      </c>
      <c r="L26" s="61"/>
      <c r="N26" s="257"/>
    </row>
    <row r="27" spans="1:14" ht="11.25" customHeight="1">
      <c r="A27" s="170" t="s">
        <v>14</v>
      </c>
      <c r="B27" s="26"/>
      <c r="C27" s="328">
        <v>1311</v>
      </c>
      <c r="D27" s="331"/>
      <c r="E27" s="328">
        <v>1371</v>
      </c>
      <c r="F27" s="331"/>
      <c r="G27" s="35">
        <v>3</v>
      </c>
      <c r="I27" s="35">
        <v>2</v>
      </c>
      <c r="L27" s="4"/>
      <c r="N27" s="257"/>
    </row>
    <row r="28" spans="1:14" ht="11.25" customHeight="1">
      <c r="A28" s="170" t="s">
        <v>246</v>
      </c>
      <c r="B28" s="26"/>
      <c r="C28" s="328">
        <v>1420</v>
      </c>
      <c r="D28" s="331"/>
      <c r="E28" s="328">
        <v>1432</v>
      </c>
      <c r="F28" s="331"/>
      <c r="G28" s="35">
        <v>54</v>
      </c>
      <c r="I28" s="35">
        <v>53</v>
      </c>
      <c r="L28" s="4"/>
      <c r="N28" s="257"/>
    </row>
    <row r="29" spans="1:14" ht="11.25" customHeight="1">
      <c r="A29" s="170" t="s">
        <v>776</v>
      </c>
      <c r="B29" s="26"/>
      <c r="C29" s="328">
        <v>2404</v>
      </c>
      <c r="D29" s="331"/>
      <c r="E29" s="328">
        <v>1738</v>
      </c>
      <c r="F29" s="331"/>
      <c r="G29" s="35">
        <v>37</v>
      </c>
      <c r="I29" s="35">
        <v>28</v>
      </c>
      <c r="L29" s="4"/>
      <c r="N29" s="257"/>
    </row>
    <row r="30" spans="1:14" ht="11.25" customHeight="1">
      <c r="A30" s="170" t="s">
        <v>247</v>
      </c>
      <c r="B30" s="26"/>
      <c r="C30" s="328">
        <v>263</v>
      </c>
      <c r="D30" s="331"/>
      <c r="E30" s="328">
        <v>252</v>
      </c>
      <c r="F30" s="331"/>
      <c r="G30" s="372" t="s">
        <v>240</v>
      </c>
      <c r="I30" s="372" t="s">
        <v>240</v>
      </c>
      <c r="L30" s="61"/>
      <c r="N30" s="257"/>
    </row>
    <row r="31" spans="1:14" ht="11.25" customHeight="1">
      <c r="A31" s="170" t="s">
        <v>248</v>
      </c>
      <c r="B31" s="26"/>
      <c r="C31" s="328">
        <v>1272</v>
      </c>
      <c r="D31" s="331"/>
      <c r="E31" s="328">
        <v>1212</v>
      </c>
      <c r="F31" s="331"/>
      <c r="G31" s="35">
        <v>29</v>
      </c>
      <c r="I31" s="35">
        <v>28</v>
      </c>
      <c r="L31" s="4"/>
      <c r="N31" s="257"/>
    </row>
    <row r="32" spans="1:14" ht="11.25" customHeight="1">
      <c r="A32" s="170" t="s">
        <v>249</v>
      </c>
      <c r="B32" s="26"/>
      <c r="C32" s="328">
        <v>1141</v>
      </c>
      <c r="D32" s="331"/>
      <c r="E32" s="328">
        <v>1045</v>
      </c>
      <c r="F32" s="331"/>
      <c r="G32" s="35">
        <v>9</v>
      </c>
      <c r="I32" s="35">
        <v>8</v>
      </c>
      <c r="L32" s="4"/>
      <c r="N32" s="257"/>
    </row>
    <row r="33" spans="1:14" ht="11.25" customHeight="1">
      <c r="A33" s="170" t="s">
        <v>35</v>
      </c>
      <c r="B33" s="26"/>
      <c r="C33" s="328">
        <v>2232</v>
      </c>
      <c r="D33" s="331"/>
      <c r="E33" s="328">
        <v>2233</v>
      </c>
      <c r="F33" s="331"/>
      <c r="G33" s="35">
        <v>52</v>
      </c>
      <c r="I33" s="35">
        <v>45</v>
      </c>
      <c r="L33" s="4"/>
      <c r="N33" s="257"/>
    </row>
    <row r="34" spans="1:14" ht="11.25" customHeight="1">
      <c r="A34" s="170" t="s">
        <v>250</v>
      </c>
      <c r="B34" s="26"/>
      <c r="C34" s="328">
        <v>1705</v>
      </c>
      <c r="D34" s="331"/>
      <c r="E34" s="328">
        <v>1652</v>
      </c>
      <c r="F34" s="331"/>
      <c r="G34" s="372" t="s">
        <v>240</v>
      </c>
      <c r="I34" s="372" t="s">
        <v>240</v>
      </c>
      <c r="L34" s="4"/>
      <c r="N34" s="257"/>
    </row>
    <row r="35" spans="1:14" ht="11.25" customHeight="1">
      <c r="A35" s="170" t="s">
        <v>251</v>
      </c>
      <c r="B35" s="26"/>
      <c r="C35" s="328">
        <v>760</v>
      </c>
      <c r="D35" s="331"/>
      <c r="E35" s="328">
        <v>792</v>
      </c>
      <c r="F35" s="331"/>
      <c r="G35" s="35">
        <v>33</v>
      </c>
      <c r="I35" s="35">
        <v>30</v>
      </c>
      <c r="L35" s="4"/>
      <c r="N35" s="257"/>
    </row>
    <row r="36" spans="1:14" ht="11.25" customHeight="1">
      <c r="A36" s="170" t="s">
        <v>15</v>
      </c>
      <c r="B36" s="26"/>
      <c r="C36" s="328">
        <v>2003</v>
      </c>
      <c r="D36" s="331"/>
      <c r="E36" s="328">
        <v>1981</v>
      </c>
      <c r="F36" s="331"/>
      <c r="G36" s="35">
        <v>8</v>
      </c>
      <c r="I36" s="35">
        <v>6</v>
      </c>
      <c r="L36" s="4"/>
      <c r="N36" s="257"/>
    </row>
    <row r="37" spans="1:14" ht="11.25" customHeight="1">
      <c r="A37" s="170" t="s">
        <v>252</v>
      </c>
      <c r="B37" s="26"/>
      <c r="C37" s="328">
        <v>393</v>
      </c>
      <c r="D37" s="331"/>
      <c r="E37" s="328">
        <v>424</v>
      </c>
      <c r="F37" s="331"/>
      <c r="G37" s="372" t="s">
        <v>240</v>
      </c>
      <c r="I37" s="35">
        <v>1</v>
      </c>
      <c r="L37" s="61"/>
      <c r="N37" s="257"/>
    </row>
    <row r="38" spans="1:14" ht="11.25" customHeight="1">
      <c r="A38" s="170" t="s">
        <v>253</v>
      </c>
      <c r="B38" s="26"/>
      <c r="C38" s="328">
        <v>1456</v>
      </c>
      <c r="D38" s="331"/>
      <c r="E38" s="328">
        <v>1442</v>
      </c>
      <c r="F38" s="331"/>
      <c r="G38" s="372" t="s">
        <v>240</v>
      </c>
      <c r="I38" s="372" t="s">
        <v>240</v>
      </c>
      <c r="L38" s="61"/>
      <c r="N38" s="257"/>
    </row>
    <row r="39" spans="1:14" ht="11.25" customHeight="1">
      <c r="A39" s="170" t="s">
        <v>254</v>
      </c>
      <c r="B39" s="26"/>
      <c r="C39" s="328">
        <v>1740</v>
      </c>
      <c r="D39" s="331"/>
      <c r="E39" s="328">
        <v>1596</v>
      </c>
      <c r="F39" s="331"/>
      <c r="G39" s="35">
        <v>2</v>
      </c>
      <c r="I39" s="35">
        <v>1</v>
      </c>
      <c r="L39" s="4"/>
      <c r="N39" s="257"/>
    </row>
    <row r="40" spans="1:14" ht="11.25" customHeight="1">
      <c r="A40" s="170" t="s">
        <v>255</v>
      </c>
      <c r="B40" s="26"/>
      <c r="C40" s="328">
        <v>214</v>
      </c>
      <c r="D40" s="331"/>
      <c r="E40" s="328">
        <v>204</v>
      </c>
      <c r="F40" s="331"/>
      <c r="G40" s="35">
        <v>4</v>
      </c>
      <c r="I40" s="35">
        <v>4</v>
      </c>
      <c r="L40" s="4"/>
      <c r="N40" s="257"/>
    </row>
    <row r="41" spans="1:14" ht="11.25" customHeight="1">
      <c r="A41" s="170" t="s">
        <v>256</v>
      </c>
      <c r="B41" s="26"/>
      <c r="C41" s="328">
        <v>1509</v>
      </c>
      <c r="D41" s="331"/>
      <c r="E41" s="328">
        <v>1439</v>
      </c>
      <c r="F41" s="331"/>
      <c r="G41" s="35">
        <v>39</v>
      </c>
      <c r="I41" s="35">
        <v>37</v>
      </c>
      <c r="L41" s="4"/>
      <c r="N41" s="257"/>
    </row>
    <row r="42" spans="1:14" ht="11.25" customHeight="1">
      <c r="A42" s="170" t="s">
        <v>257</v>
      </c>
      <c r="B42" s="26"/>
      <c r="C42" s="328">
        <v>762</v>
      </c>
      <c r="D42" s="331"/>
      <c r="E42" s="328">
        <v>722</v>
      </c>
      <c r="F42" s="331"/>
      <c r="G42" s="35">
        <v>4</v>
      </c>
      <c r="I42" s="35">
        <v>4</v>
      </c>
      <c r="L42" s="4"/>
      <c r="N42" s="257"/>
    </row>
    <row r="43" spans="1:14" ht="11.25" customHeight="1">
      <c r="A43" s="170" t="s">
        <v>205</v>
      </c>
      <c r="B43" s="26"/>
      <c r="C43" s="328">
        <v>698</v>
      </c>
      <c r="D43" s="331"/>
      <c r="E43" s="328">
        <v>717</v>
      </c>
      <c r="F43" s="331"/>
      <c r="G43" s="35">
        <v>6</v>
      </c>
      <c r="I43" s="35">
        <v>7</v>
      </c>
      <c r="L43" s="4"/>
      <c r="N43" s="257"/>
    </row>
    <row r="44" spans="1:14" ht="11.25" customHeight="1">
      <c r="A44" s="170" t="s">
        <v>259</v>
      </c>
      <c r="B44" s="26"/>
      <c r="C44" s="328">
        <v>1680</v>
      </c>
      <c r="D44" s="331"/>
      <c r="E44" s="328">
        <v>1641</v>
      </c>
      <c r="F44" s="331"/>
      <c r="G44" s="35">
        <v>39</v>
      </c>
      <c r="I44" s="35">
        <v>36</v>
      </c>
      <c r="L44" s="4"/>
      <c r="N44" s="257"/>
    </row>
    <row r="45" spans="1:14" ht="11.25" customHeight="1">
      <c r="A45" s="170" t="s">
        <v>258</v>
      </c>
      <c r="B45" s="26"/>
      <c r="C45" s="328">
        <v>619</v>
      </c>
      <c r="D45" s="331"/>
      <c r="E45" s="328">
        <v>705</v>
      </c>
      <c r="F45" s="331"/>
      <c r="G45" s="35">
        <v>8</v>
      </c>
      <c r="I45" s="35">
        <v>9</v>
      </c>
      <c r="L45" s="4"/>
      <c r="N45" s="257"/>
    </row>
    <row r="46" spans="1:14" ht="11.25" customHeight="1">
      <c r="A46" s="170" t="s">
        <v>260</v>
      </c>
      <c r="B46" s="26" t="s">
        <v>128</v>
      </c>
      <c r="C46" s="328">
        <v>3066</v>
      </c>
      <c r="D46" s="331"/>
      <c r="E46" s="328">
        <v>3348</v>
      </c>
      <c r="F46" s="331"/>
      <c r="G46" s="35">
        <v>157</v>
      </c>
      <c r="I46" s="35">
        <v>149</v>
      </c>
      <c r="L46" s="4"/>
      <c r="N46" s="257"/>
    </row>
    <row r="47" spans="1:14" ht="11.25" customHeight="1">
      <c r="A47" s="170" t="s">
        <v>261</v>
      </c>
      <c r="B47" s="26"/>
      <c r="C47" s="328">
        <v>467</v>
      </c>
      <c r="D47" s="331"/>
      <c r="E47" s="328">
        <v>521</v>
      </c>
      <c r="F47" s="331"/>
      <c r="G47" s="35">
        <v>1</v>
      </c>
      <c r="I47" s="372" t="s">
        <v>240</v>
      </c>
      <c r="L47" s="4"/>
      <c r="N47" s="257"/>
    </row>
    <row r="48" spans="1:14" ht="11.25" customHeight="1">
      <c r="A48" s="170" t="s">
        <v>12</v>
      </c>
      <c r="B48" s="26"/>
      <c r="C48" s="328">
        <v>3529</v>
      </c>
      <c r="D48" s="331"/>
      <c r="E48" s="328">
        <v>3395</v>
      </c>
      <c r="F48" s="331"/>
      <c r="G48" s="35">
        <v>71</v>
      </c>
      <c r="I48" s="35">
        <v>69</v>
      </c>
      <c r="L48" s="4"/>
      <c r="N48" s="257"/>
    </row>
    <row r="49" spans="1:14" ht="11.25" customHeight="1">
      <c r="A49" s="170" t="s">
        <v>262</v>
      </c>
      <c r="B49" s="26"/>
      <c r="C49" s="328">
        <v>1721</v>
      </c>
      <c r="D49" s="331"/>
      <c r="E49" s="328">
        <v>1675</v>
      </c>
      <c r="F49" s="331"/>
      <c r="G49" s="35">
        <v>45</v>
      </c>
      <c r="I49" s="35">
        <v>34</v>
      </c>
      <c r="L49" s="4"/>
      <c r="N49" s="257"/>
    </row>
    <row r="50" spans="1:14" ht="11.25" customHeight="1">
      <c r="A50" s="170" t="s">
        <v>263</v>
      </c>
      <c r="B50" s="26"/>
      <c r="C50" s="328">
        <v>950</v>
      </c>
      <c r="D50" s="331"/>
      <c r="E50" s="328">
        <v>849</v>
      </c>
      <c r="F50" s="331"/>
      <c r="G50" s="122" t="s">
        <v>25</v>
      </c>
      <c r="I50" s="122" t="s">
        <v>25</v>
      </c>
      <c r="L50" s="61"/>
      <c r="N50" s="257"/>
    </row>
    <row r="51" spans="1:14" ht="11.25" customHeight="1">
      <c r="A51" s="170" t="s">
        <v>213</v>
      </c>
      <c r="B51" s="26"/>
      <c r="C51" s="328">
        <v>1905</v>
      </c>
      <c r="D51" s="331"/>
      <c r="E51" s="328">
        <v>1701</v>
      </c>
      <c r="F51" s="331"/>
      <c r="G51" s="35">
        <v>41</v>
      </c>
      <c r="I51" s="35">
        <v>42</v>
      </c>
      <c r="L51" s="4"/>
      <c r="N51" s="257"/>
    </row>
    <row r="52" spans="1:14" ht="11.25" customHeight="1">
      <c r="A52" s="170" t="s">
        <v>215</v>
      </c>
      <c r="B52" s="26"/>
      <c r="C52" s="328">
        <v>894</v>
      </c>
      <c r="D52" s="331"/>
      <c r="E52" s="328">
        <v>869</v>
      </c>
      <c r="F52" s="331"/>
      <c r="G52" s="35">
        <v>16</v>
      </c>
      <c r="I52" s="35">
        <v>15</v>
      </c>
      <c r="L52" s="4"/>
      <c r="N52" s="257"/>
    </row>
    <row r="53" spans="1:14" ht="11.25" customHeight="1">
      <c r="A53" s="170" t="s">
        <v>264</v>
      </c>
      <c r="B53" s="26"/>
      <c r="C53" s="328">
        <v>161</v>
      </c>
      <c r="D53" s="331"/>
      <c r="E53" s="328">
        <v>144</v>
      </c>
      <c r="F53" s="331"/>
      <c r="G53" s="372" t="s">
        <v>240</v>
      </c>
      <c r="I53" s="372" t="s">
        <v>240</v>
      </c>
      <c r="L53" s="61"/>
      <c r="N53" s="257"/>
    </row>
    <row r="54" spans="1:14" ht="11.25" customHeight="1">
      <c r="A54" s="170" t="s">
        <v>18</v>
      </c>
      <c r="B54" s="26"/>
      <c r="C54" s="328">
        <v>1960</v>
      </c>
      <c r="D54" s="331"/>
      <c r="E54" s="328">
        <v>2043</v>
      </c>
      <c r="F54" s="331"/>
      <c r="G54" s="35">
        <v>77</v>
      </c>
      <c r="I54" s="35">
        <v>79</v>
      </c>
      <c r="L54" s="4"/>
      <c r="N54" s="257"/>
    </row>
    <row r="55" spans="1:14" ht="11.25" customHeight="1">
      <c r="A55" s="170" t="s">
        <v>265</v>
      </c>
      <c r="B55" s="26"/>
      <c r="C55" s="328">
        <v>535</v>
      </c>
      <c r="D55" s="331"/>
      <c r="E55" s="328">
        <v>607</v>
      </c>
      <c r="F55" s="331"/>
      <c r="G55" s="122" t="s">
        <v>25</v>
      </c>
      <c r="I55" s="122" t="s">
        <v>25</v>
      </c>
      <c r="K55" s="265"/>
      <c r="L55" s="265"/>
      <c r="N55" s="257"/>
    </row>
    <row r="56" spans="1:14" ht="11.25" customHeight="1">
      <c r="A56" s="170" t="s">
        <v>266</v>
      </c>
      <c r="B56" s="26"/>
      <c r="C56" s="328">
        <v>2514</v>
      </c>
      <c r="D56" s="331"/>
      <c r="E56" s="328">
        <v>2577</v>
      </c>
      <c r="F56" s="331"/>
      <c r="G56" s="35">
        <v>157</v>
      </c>
      <c r="I56" s="35">
        <v>140</v>
      </c>
      <c r="L56" s="4"/>
      <c r="N56" s="257"/>
    </row>
    <row r="57" spans="1:14" ht="11.25" customHeight="1">
      <c r="A57" s="170" t="s">
        <v>777</v>
      </c>
      <c r="B57" s="26"/>
      <c r="C57" s="328">
        <v>8148</v>
      </c>
      <c r="D57" s="331"/>
      <c r="E57" s="328">
        <v>8185</v>
      </c>
      <c r="F57" s="331"/>
      <c r="G57" s="35">
        <v>154</v>
      </c>
      <c r="I57" s="35">
        <v>125</v>
      </c>
      <c r="L57" s="4"/>
      <c r="N57" s="257"/>
    </row>
    <row r="58" spans="1:14" ht="11.25" customHeight="1">
      <c r="A58" s="170" t="s">
        <v>833</v>
      </c>
      <c r="B58" s="26"/>
      <c r="C58" s="328">
        <v>8701</v>
      </c>
      <c r="D58" s="331"/>
      <c r="E58" s="328">
        <v>10800</v>
      </c>
      <c r="F58" s="495" t="s">
        <v>753</v>
      </c>
      <c r="G58" s="35">
        <v>165</v>
      </c>
      <c r="I58" s="35">
        <v>129</v>
      </c>
      <c r="L58" s="4"/>
      <c r="N58" s="257"/>
    </row>
    <row r="59" spans="1:14" ht="11.25" customHeight="1">
      <c r="A59" s="170" t="s">
        <v>267</v>
      </c>
      <c r="B59" s="26"/>
      <c r="C59" s="328">
        <v>1791</v>
      </c>
      <c r="D59" s="331"/>
      <c r="E59" s="328">
        <v>1606</v>
      </c>
      <c r="F59" s="331"/>
      <c r="G59" s="122" t="s">
        <v>550</v>
      </c>
      <c r="I59" s="122" t="s">
        <v>757</v>
      </c>
      <c r="L59" s="265"/>
      <c r="N59" s="257"/>
    </row>
    <row r="60" spans="1:14" ht="11.25" customHeight="1">
      <c r="A60" s="169" t="s">
        <v>268</v>
      </c>
      <c r="B60" s="26"/>
      <c r="C60" s="328">
        <v>109</v>
      </c>
      <c r="D60" s="331"/>
      <c r="E60" s="328">
        <v>104</v>
      </c>
      <c r="F60" s="331"/>
      <c r="G60" s="372" t="s">
        <v>240</v>
      </c>
      <c r="H60" s="122"/>
      <c r="I60" s="372" t="s">
        <v>240</v>
      </c>
      <c r="J60" s="122"/>
      <c r="L60" s="61"/>
      <c r="N60" s="257"/>
    </row>
    <row r="61" spans="1:14" ht="11.25" customHeight="1">
      <c r="A61" s="170" t="s">
        <v>269</v>
      </c>
      <c r="B61" s="26"/>
      <c r="C61" s="328">
        <v>2224</v>
      </c>
      <c r="D61" s="331"/>
      <c r="E61" s="328">
        <v>2164</v>
      </c>
      <c r="F61" s="331"/>
      <c r="G61" s="35">
        <v>59</v>
      </c>
      <c r="I61" s="35">
        <v>57</v>
      </c>
      <c r="L61" s="4"/>
      <c r="N61" s="257"/>
    </row>
    <row r="62" spans="1:14" ht="11.25" customHeight="1">
      <c r="A62" s="170" t="s">
        <v>270</v>
      </c>
      <c r="B62" s="26"/>
      <c r="C62" s="328">
        <v>1833</v>
      </c>
      <c r="D62" s="331"/>
      <c r="E62" s="328">
        <v>1710</v>
      </c>
      <c r="F62" s="331"/>
      <c r="G62" s="122" t="s">
        <v>25</v>
      </c>
      <c r="I62" s="122" t="s">
        <v>25</v>
      </c>
      <c r="L62" s="61"/>
      <c r="N62" s="257"/>
    </row>
    <row r="63" spans="1:14" ht="11.25" customHeight="1">
      <c r="A63" s="168" t="s">
        <v>271</v>
      </c>
      <c r="B63" s="26"/>
      <c r="C63" s="328">
        <v>418</v>
      </c>
      <c r="D63" s="331"/>
      <c r="E63" s="328">
        <v>375</v>
      </c>
      <c r="F63" s="331"/>
      <c r="G63" s="328">
        <v>5</v>
      </c>
      <c r="I63" s="328">
        <v>5</v>
      </c>
      <c r="L63" s="4"/>
      <c r="N63" s="257"/>
    </row>
    <row r="64" spans="1:14" ht="11.25" customHeight="1">
      <c r="A64" s="169" t="s">
        <v>272</v>
      </c>
      <c r="B64" s="26"/>
      <c r="C64" s="328">
        <v>1861</v>
      </c>
      <c r="D64" s="331"/>
      <c r="E64" s="328">
        <v>1876</v>
      </c>
      <c r="F64" s="331"/>
      <c r="G64" s="328">
        <v>5</v>
      </c>
      <c r="I64" s="328">
        <v>5</v>
      </c>
      <c r="L64" s="4"/>
      <c r="N64" s="257"/>
    </row>
    <row r="65" spans="1:14" ht="11.25" customHeight="1">
      <c r="A65" s="170" t="s">
        <v>273</v>
      </c>
      <c r="B65" s="26"/>
      <c r="C65" s="328">
        <v>288</v>
      </c>
      <c r="D65" s="331"/>
      <c r="E65" s="328">
        <v>302</v>
      </c>
      <c r="F65" s="331"/>
      <c r="G65" s="122" t="s">
        <v>55</v>
      </c>
      <c r="I65" s="122" t="s">
        <v>753</v>
      </c>
      <c r="L65" s="265"/>
      <c r="N65" s="257"/>
    </row>
    <row r="66" spans="1:14" ht="11.25" customHeight="1">
      <c r="A66" s="171" t="s">
        <v>175</v>
      </c>
      <c r="B66" s="26"/>
      <c r="C66" s="460">
        <v>107959</v>
      </c>
      <c r="D66" s="461"/>
      <c r="E66" s="460">
        <v>107000</v>
      </c>
      <c r="F66" s="663" t="s">
        <v>837</v>
      </c>
      <c r="G66" s="460">
        <v>2474</v>
      </c>
      <c r="H66" s="461"/>
      <c r="I66" s="460">
        <v>2351</v>
      </c>
      <c r="L66" s="4"/>
      <c r="N66" s="257"/>
    </row>
    <row r="67" spans="1:14" ht="11.25" customHeight="1">
      <c r="A67" s="170" t="s">
        <v>28</v>
      </c>
      <c r="B67" s="26"/>
      <c r="C67" s="328">
        <v>635</v>
      </c>
      <c r="D67" s="331"/>
      <c r="E67" s="328">
        <v>624</v>
      </c>
      <c r="F67" s="331"/>
      <c r="G67" s="122" t="s">
        <v>25</v>
      </c>
      <c r="I67" s="122" t="s">
        <v>25</v>
      </c>
      <c r="L67" s="265"/>
      <c r="N67" s="257"/>
    </row>
    <row r="68" spans="1:14" ht="11.25" customHeight="1">
      <c r="A68" s="170" t="s">
        <v>458</v>
      </c>
      <c r="B68" s="26"/>
      <c r="C68" s="328">
        <v>659</v>
      </c>
      <c r="D68" s="331"/>
      <c r="E68" s="328">
        <v>936</v>
      </c>
      <c r="F68" s="331"/>
      <c r="G68" s="372" t="s">
        <v>240</v>
      </c>
      <c r="H68" s="495"/>
      <c r="I68" s="328">
        <v>3</v>
      </c>
      <c r="L68" s="61"/>
      <c r="N68" s="257"/>
    </row>
    <row r="69" spans="1:14" ht="11.25" customHeight="1">
      <c r="A69" s="170" t="s">
        <v>176</v>
      </c>
      <c r="B69" s="26"/>
      <c r="C69" s="329">
        <v>109253</v>
      </c>
      <c r="D69" s="462"/>
      <c r="E69" s="329">
        <v>109000</v>
      </c>
      <c r="F69" s="649" t="s">
        <v>837</v>
      </c>
      <c r="G69" s="329">
        <v>2474</v>
      </c>
      <c r="H69" s="462"/>
      <c r="I69" s="329">
        <v>2353</v>
      </c>
      <c r="L69" s="4"/>
      <c r="N69" s="257"/>
    </row>
    <row r="70" spans="1:14" ht="11.25" customHeight="1">
      <c r="A70" s="167" t="s">
        <v>274</v>
      </c>
      <c r="B70" s="26"/>
      <c r="C70" s="330"/>
      <c r="D70" s="331"/>
      <c r="E70" s="330"/>
      <c r="F70" s="331"/>
      <c r="G70" s="331"/>
      <c r="I70" s="331"/>
      <c r="L70" s="4"/>
    </row>
    <row r="71" spans="1:14" ht="11.25" customHeight="1">
      <c r="A71" s="170" t="s">
        <v>275</v>
      </c>
      <c r="B71" s="26"/>
      <c r="C71" s="330">
        <v>89765</v>
      </c>
      <c r="D71" s="463"/>
      <c r="E71" s="330">
        <v>87912</v>
      </c>
      <c r="F71" s="463"/>
      <c r="G71" s="331">
        <v>2450</v>
      </c>
      <c r="I71" s="331">
        <v>2331</v>
      </c>
      <c r="L71" s="4"/>
    </row>
    <row r="72" spans="1:14" ht="11.25" customHeight="1">
      <c r="A72" s="170" t="s">
        <v>28</v>
      </c>
      <c r="B72" s="26"/>
      <c r="C72" s="330">
        <v>298</v>
      </c>
      <c r="D72" s="331"/>
      <c r="E72" s="330">
        <v>256</v>
      </c>
      <c r="F72" s="331"/>
      <c r="G72" s="122" t="s">
        <v>25</v>
      </c>
      <c r="I72" s="122" t="s">
        <v>25</v>
      </c>
      <c r="L72" s="4"/>
    </row>
    <row r="73" spans="1:14" ht="11.25" customHeight="1">
      <c r="A73" s="634" t="s">
        <v>459</v>
      </c>
      <c r="B73" s="26"/>
      <c r="C73" s="464">
        <v>19189</v>
      </c>
      <c r="D73" s="331"/>
      <c r="E73" s="464">
        <v>20700</v>
      </c>
      <c r="F73" s="495" t="s">
        <v>837</v>
      </c>
      <c r="G73" s="464">
        <v>24</v>
      </c>
      <c r="I73" s="464">
        <v>22</v>
      </c>
      <c r="L73" s="4"/>
    </row>
    <row r="74" spans="1:14" ht="11.25" customHeight="1">
      <c r="A74" s="171" t="s">
        <v>276</v>
      </c>
      <c r="B74" s="25"/>
      <c r="C74" s="465">
        <v>109253</v>
      </c>
      <c r="D74" s="466"/>
      <c r="E74" s="465">
        <v>109000</v>
      </c>
      <c r="F74" s="650" t="s">
        <v>837</v>
      </c>
      <c r="G74" s="466">
        <v>2474</v>
      </c>
      <c r="H74" s="466"/>
      <c r="I74" s="466">
        <v>2353</v>
      </c>
      <c r="L74" s="4"/>
    </row>
    <row r="75" spans="1:14" ht="11.25" customHeight="1">
      <c r="A75" s="741" t="s">
        <v>778</v>
      </c>
      <c r="B75" s="694"/>
      <c r="C75" s="694"/>
      <c r="D75" s="694"/>
      <c r="E75" s="694"/>
      <c r="F75" s="694"/>
      <c r="G75" s="694"/>
      <c r="H75" s="694"/>
      <c r="I75" s="694"/>
      <c r="L75" s="4"/>
    </row>
    <row r="76" spans="1:14" ht="33.75" customHeight="1">
      <c r="A76" s="695" t="s">
        <v>823</v>
      </c>
      <c r="B76" s="700"/>
      <c r="C76" s="700"/>
      <c r="D76" s="700"/>
      <c r="E76" s="700"/>
      <c r="F76" s="700"/>
      <c r="G76" s="700"/>
      <c r="H76" s="700"/>
      <c r="I76" s="700"/>
      <c r="L76" s="4"/>
    </row>
    <row r="77" spans="1:14" ht="22.5" customHeight="1">
      <c r="A77" s="739" t="s">
        <v>410</v>
      </c>
      <c r="B77" s="700"/>
      <c r="C77" s="700"/>
      <c r="D77" s="700"/>
      <c r="E77" s="700"/>
      <c r="F77" s="700"/>
      <c r="G77" s="700"/>
      <c r="H77" s="700"/>
      <c r="I77" s="700"/>
      <c r="L77" s="4"/>
    </row>
    <row r="78" spans="1:14" ht="11.25" customHeight="1">
      <c r="A78" s="742" t="s">
        <v>277</v>
      </c>
      <c r="B78" s="742"/>
      <c r="C78" s="742"/>
      <c r="D78" s="742"/>
      <c r="E78" s="742"/>
      <c r="F78" s="742"/>
      <c r="G78" s="742"/>
      <c r="H78" s="742"/>
      <c r="I78" s="742"/>
      <c r="L78" s="4"/>
    </row>
    <row r="79" spans="1:14" ht="11.25" customHeight="1">
      <c r="A79" s="742" t="s">
        <v>278</v>
      </c>
      <c r="B79" s="742"/>
      <c r="C79" s="742"/>
      <c r="D79" s="742"/>
      <c r="E79" s="742"/>
      <c r="F79" s="742"/>
      <c r="G79" s="742"/>
      <c r="H79" s="742"/>
      <c r="I79" s="742"/>
      <c r="L79" s="4"/>
    </row>
    <row r="80" spans="1:14" ht="11.25" customHeight="1">
      <c r="A80" s="742" t="s">
        <v>178</v>
      </c>
      <c r="B80" s="742"/>
      <c r="C80" s="742"/>
      <c r="D80" s="742"/>
      <c r="E80" s="742"/>
      <c r="F80" s="742"/>
      <c r="G80" s="742"/>
      <c r="H80" s="742"/>
      <c r="I80" s="742"/>
      <c r="L80" s="4"/>
    </row>
    <row r="81" spans="1:18" ht="11.25" customHeight="1">
      <c r="A81" s="742" t="s">
        <v>279</v>
      </c>
      <c r="B81" s="742"/>
      <c r="C81" s="742"/>
      <c r="D81" s="742"/>
      <c r="E81" s="742"/>
      <c r="F81" s="742"/>
      <c r="G81" s="742"/>
      <c r="H81" s="742"/>
      <c r="I81" s="742"/>
      <c r="L81" s="4"/>
    </row>
    <row r="82" spans="1:18" ht="22.5" customHeight="1">
      <c r="A82" s="739" t="s">
        <v>395</v>
      </c>
      <c r="B82" s="700"/>
      <c r="C82" s="700"/>
      <c r="D82" s="700"/>
      <c r="E82" s="700"/>
      <c r="F82" s="700"/>
      <c r="G82" s="700"/>
      <c r="H82" s="700"/>
      <c r="I82" s="700"/>
      <c r="L82" s="4"/>
    </row>
    <row r="83" spans="1:18" s="124" customFormat="1" ht="22.5" customHeight="1">
      <c r="A83" s="739" t="s">
        <v>758</v>
      </c>
      <c r="B83" s="739"/>
      <c r="C83" s="739"/>
      <c r="D83" s="739"/>
      <c r="E83" s="739"/>
      <c r="F83" s="739"/>
      <c r="G83" s="739"/>
      <c r="H83" s="739"/>
      <c r="I83" s="739"/>
      <c r="L83" s="648"/>
      <c r="M83" s="648"/>
      <c r="N83" s="648"/>
      <c r="O83" s="648"/>
      <c r="P83" s="648"/>
      <c r="Q83" s="648"/>
      <c r="R83" s="648"/>
    </row>
    <row r="84" spans="1:18" ht="22.5" customHeight="1">
      <c r="A84" s="739" t="s">
        <v>839</v>
      </c>
      <c r="B84" s="739"/>
      <c r="C84" s="739"/>
      <c r="D84" s="739"/>
      <c r="E84" s="739"/>
      <c r="F84" s="739"/>
      <c r="G84" s="739"/>
      <c r="H84" s="739"/>
      <c r="I84" s="739"/>
    </row>
    <row r="85" spans="1:18" ht="11.25" customHeight="1"/>
    <row r="86" spans="1:18" ht="11.25" customHeight="1"/>
    <row r="87" spans="1:18" ht="11.25" customHeight="1"/>
    <row r="88" spans="1:18" ht="11.25" customHeight="1"/>
    <row r="89" spans="1:18" ht="11.25" customHeight="1"/>
    <row r="90" spans="1:18" ht="11.25" customHeight="1"/>
    <row r="91" spans="1:18" ht="11.25" customHeight="1"/>
    <row r="92" spans="1:18" ht="11.25" customHeight="1"/>
    <row r="93" spans="1:18" ht="11.25" customHeight="1"/>
    <row r="94" spans="1:18" ht="11.25" customHeight="1"/>
    <row r="95" spans="1:18" ht="11.25" customHeight="1"/>
    <row r="96" spans="1:18" ht="11.25" customHeight="1"/>
    <row r="97" ht="11.25" customHeight="1"/>
    <row r="98" ht="11.25" customHeight="1"/>
    <row r="99" ht="11.25" customHeight="1"/>
    <row r="100" ht="11.25" customHeight="1"/>
  </sheetData>
  <mergeCells count="17">
    <mergeCell ref="A84:I84"/>
    <mergeCell ref="A1:I1"/>
    <mergeCell ref="A2:I2"/>
    <mergeCell ref="A3:I3"/>
    <mergeCell ref="A4:I4"/>
    <mergeCell ref="A5:I5"/>
    <mergeCell ref="A76:I76"/>
    <mergeCell ref="A83:I83"/>
    <mergeCell ref="C6:E6"/>
    <mergeCell ref="G6:I6"/>
    <mergeCell ref="A82:I82"/>
    <mergeCell ref="A75:I75"/>
    <mergeCell ref="A81:I81"/>
    <mergeCell ref="A78:I78"/>
    <mergeCell ref="A79:I79"/>
    <mergeCell ref="A80:I80"/>
    <mergeCell ref="A77:I77"/>
  </mergeCells>
  <pageMargins left="0.5" right="0.5" top="0.75" bottom="0.5" header="0.3" footer="0.3"/>
  <pageSetup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6"/>
  <sheetViews>
    <sheetView zoomScaleNormal="100" workbookViewId="0">
      <selection activeCell="A24" sqref="A24:P24"/>
    </sheetView>
  </sheetViews>
  <sheetFormatPr defaultRowHeight="14"/>
  <cols>
    <col min="1" max="1" width="17" customWidth="1"/>
    <col min="2" max="2" width="1.7265625" customWidth="1"/>
    <col min="3" max="3" width="7.7265625" customWidth="1"/>
    <col min="4" max="4" width="1.7265625" customWidth="1"/>
    <col min="5" max="5" width="7.7265625" customWidth="1"/>
    <col min="6" max="6" width="1.7265625" customWidth="1"/>
    <col min="7" max="7" width="7.7265625" customWidth="1"/>
    <col min="8" max="8" width="1.7265625" customWidth="1"/>
    <col min="9" max="9" width="7.7265625" customWidth="1"/>
    <col min="10" max="10" width="1.7265625" customWidth="1"/>
    <col min="11" max="11" width="7.7265625" customWidth="1"/>
    <col min="12" max="12" width="1.7265625" customWidth="1"/>
    <col min="13" max="13" width="7.7265625" customWidth="1"/>
    <col min="14" max="14" width="1.7265625" customWidth="1"/>
    <col min="15" max="15" width="7.7265625" customWidth="1"/>
    <col min="16" max="16" width="1.7265625" customWidth="1"/>
  </cols>
  <sheetData>
    <row r="1" spans="1:16" ht="11.25" customHeight="1">
      <c r="A1" s="749" t="s">
        <v>120</v>
      </c>
      <c r="B1" s="749"/>
      <c r="C1" s="749"/>
      <c r="D1" s="749"/>
      <c r="E1" s="749"/>
      <c r="F1" s="749"/>
      <c r="G1" s="749"/>
      <c r="H1" s="749"/>
      <c r="I1" s="749"/>
      <c r="J1" s="749"/>
      <c r="K1" s="749"/>
      <c r="L1" s="749"/>
      <c r="M1" s="749"/>
      <c r="N1" s="749"/>
      <c r="O1" s="749"/>
      <c r="P1" s="749"/>
    </row>
    <row r="2" spans="1:16" ht="11.25" customHeight="1">
      <c r="A2" s="749" t="s">
        <v>519</v>
      </c>
      <c r="B2" s="749"/>
      <c r="C2" s="749"/>
      <c r="D2" s="749"/>
      <c r="E2" s="749"/>
      <c r="F2" s="749"/>
      <c r="G2" s="749"/>
      <c r="H2" s="749"/>
      <c r="I2" s="749"/>
      <c r="J2" s="749"/>
      <c r="K2" s="749"/>
      <c r="L2" s="749"/>
      <c r="M2" s="749"/>
      <c r="N2" s="749"/>
      <c r="O2" s="749"/>
      <c r="P2" s="749"/>
    </row>
    <row r="3" spans="1:16" ht="11.25" customHeight="1">
      <c r="A3" s="698"/>
      <c r="B3" s="698"/>
      <c r="C3" s="698"/>
      <c r="D3" s="698"/>
      <c r="E3" s="698"/>
      <c r="F3" s="698"/>
      <c r="G3" s="698"/>
      <c r="H3" s="698"/>
      <c r="I3" s="698"/>
      <c r="J3" s="698"/>
      <c r="K3" s="698"/>
      <c r="L3" s="698"/>
      <c r="M3" s="698"/>
      <c r="N3" s="698"/>
      <c r="O3" s="698"/>
      <c r="P3" s="698"/>
    </row>
    <row r="4" spans="1:16" ht="11.25" customHeight="1">
      <c r="A4" s="749" t="s">
        <v>80</v>
      </c>
      <c r="B4" s="749"/>
      <c r="C4" s="749"/>
      <c r="D4" s="749"/>
      <c r="E4" s="749"/>
      <c r="F4" s="749"/>
      <c r="G4" s="749"/>
      <c r="H4" s="749"/>
      <c r="I4" s="749"/>
      <c r="J4" s="749"/>
      <c r="K4" s="749"/>
      <c r="L4" s="749"/>
      <c r="M4" s="749"/>
      <c r="N4" s="749"/>
      <c r="O4" s="749"/>
      <c r="P4" s="749"/>
    </row>
    <row r="5" spans="1:16" ht="11.25" customHeight="1">
      <c r="A5" s="750"/>
      <c r="B5" s="750"/>
      <c r="C5" s="750"/>
      <c r="D5" s="750"/>
      <c r="E5" s="750"/>
      <c r="F5" s="750"/>
      <c r="G5" s="750"/>
      <c r="H5" s="750"/>
      <c r="I5" s="750"/>
      <c r="J5" s="750"/>
      <c r="K5" s="750"/>
      <c r="L5" s="750"/>
      <c r="M5" s="750"/>
      <c r="N5" s="750"/>
      <c r="O5" s="750"/>
      <c r="P5" s="750"/>
    </row>
    <row r="6" spans="1:16" ht="11.25" customHeight="1">
      <c r="A6" s="172"/>
      <c r="B6" s="172"/>
      <c r="C6" s="751" t="s">
        <v>121</v>
      </c>
      <c r="D6" s="751"/>
      <c r="E6" s="751"/>
      <c r="F6" s="172"/>
      <c r="G6" s="751" t="s">
        <v>122</v>
      </c>
      <c r="H6" s="751"/>
      <c r="I6" s="751"/>
      <c r="J6" s="173"/>
      <c r="K6" s="751" t="s">
        <v>123</v>
      </c>
      <c r="L6" s="751"/>
      <c r="M6" s="751"/>
      <c r="N6" s="172"/>
      <c r="O6" s="174" t="s">
        <v>124</v>
      </c>
      <c r="P6" s="175"/>
    </row>
    <row r="7" spans="1:16" ht="11.25" customHeight="1">
      <c r="A7" s="231" t="s">
        <v>125</v>
      </c>
      <c r="B7" s="231"/>
      <c r="C7" s="231" t="s">
        <v>126</v>
      </c>
      <c r="D7" s="231"/>
      <c r="E7" s="232" t="s">
        <v>470</v>
      </c>
      <c r="F7" s="231"/>
      <c r="G7" s="231" t="s">
        <v>126</v>
      </c>
      <c r="H7" s="231"/>
      <c r="I7" s="232" t="s">
        <v>470</v>
      </c>
      <c r="J7" s="231"/>
      <c r="K7" s="231" t="s">
        <v>126</v>
      </c>
      <c r="L7" s="231"/>
      <c r="M7" s="232" t="s">
        <v>470</v>
      </c>
      <c r="N7" s="231"/>
      <c r="O7" s="176" t="s">
        <v>471</v>
      </c>
      <c r="P7" s="177"/>
    </row>
    <row r="8" spans="1:16" ht="11.25" customHeight="1">
      <c r="A8" s="332" t="s">
        <v>534</v>
      </c>
      <c r="B8" s="333"/>
      <c r="C8" s="334"/>
      <c r="D8" s="6"/>
      <c r="E8" s="334"/>
      <c r="F8" s="6"/>
      <c r="G8" s="334"/>
      <c r="H8" s="6"/>
      <c r="I8" s="334"/>
      <c r="J8" s="334"/>
      <c r="K8" s="334"/>
      <c r="L8" s="10"/>
      <c r="M8" s="334"/>
      <c r="N8" s="334"/>
      <c r="O8" s="334"/>
      <c r="P8" s="335"/>
    </row>
    <row r="9" spans="1:16" ht="11.25" customHeight="1">
      <c r="A9" s="336" t="s">
        <v>127</v>
      </c>
      <c r="B9" s="333" t="s">
        <v>128</v>
      </c>
      <c r="C9" s="35">
        <v>13500</v>
      </c>
      <c r="D9" s="501"/>
      <c r="E9" s="35">
        <v>405</v>
      </c>
      <c r="F9" s="501"/>
      <c r="G9" s="35">
        <v>2610</v>
      </c>
      <c r="H9" s="501"/>
      <c r="I9" s="122" t="s">
        <v>25</v>
      </c>
      <c r="J9" s="11"/>
      <c r="K9" s="35">
        <v>1360</v>
      </c>
      <c r="L9" s="12"/>
      <c r="M9" s="35">
        <v>1</v>
      </c>
      <c r="N9" s="11"/>
      <c r="O9" s="35">
        <v>3970</v>
      </c>
      <c r="P9" s="13"/>
    </row>
    <row r="10" spans="1:16" ht="11.25" customHeight="1">
      <c r="A10" s="336" t="s">
        <v>129</v>
      </c>
      <c r="B10" s="333"/>
      <c r="C10" s="35">
        <v>12900</v>
      </c>
      <c r="D10" s="501"/>
      <c r="E10" s="35">
        <v>145</v>
      </c>
      <c r="F10" s="501"/>
      <c r="G10" s="35">
        <v>59400</v>
      </c>
      <c r="H10" s="501"/>
      <c r="I10" s="35">
        <v>881</v>
      </c>
      <c r="J10" s="11"/>
      <c r="K10" s="35">
        <v>40700</v>
      </c>
      <c r="L10" s="12"/>
      <c r="M10" s="35">
        <v>751</v>
      </c>
      <c r="N10" s="11"/>
      <c r="O10" s="35">
        <v>102000</v>
      </c>
      <c r="P10" s="13"/>
    </row>
    <row r="11" spans="1:16" ht="11.25" customHeight="1">
      <c r="A11" s="336" t="s">
        <v>130</v>
      </c>
      <c r="B11" s="333"/>
      <c r="C11" s="384">
        <v>8380</v>
      </c>
      <c r="D11" s="502"/>
      <c r="E11" s="467" t="s">
        <v>25</v>
      </c>
      <c r="F11" s="468"/>
      <c r="G11" s="384">
        <v>2110</v>
      </c>
      <c r="H11" s="502"/>
      <c r="I11" s="467" t="s">
        <v>25</v>
      </c>
      <c r="J11" s="468"/>
      <c r="K11" s="564" t="s">
        <v>543</v>
      </c>
      <c r="L11" s="470"/>
      <c r="M11" s="467" t="s">
        <v>25</v>
      </c>
      <c r="N11" s="468"/>
      <c r="O11" s="384">
        <v>2110</v>
      </c>
      <c r="P11" s="471"/>
    </row>
    <row r="12" spans="1:16" ht="11.25" customHeight="1">
      <c r="A12" s="338" t="s">
        <v>131</v>
      </c>
      <c r="B12" s="339"/>
      <c r="C12" s="384">
        <v>34800</v>
      </c>
      <c r="D12" s="502"/>
      <c r="E12" s="384">
        <v>551</v>
      </c>
      <c r="F12" s="502"/>
      <c r="G12" s="384">
        <v>64100</v>
      </c>
      <c r="H12" s="502"/>
      <c r="I12" s="384">
        <v>881</v>
      </c>
      <c r="J12" s="468"/>
      <c r="K12" s="384">
        <v>42100</v>
      </c>
      <c r="L12" s="470"/>
      <c r="M12" s="384">
        <v>752</v>
      </c>
      <c r="N12" s="468"/>
      <c r="O12" s="384">
        <v>108000</v>
      </c>
      <c r="P12" s="472" t="s">
        <v>690</v>
      </c>
    </row>
    <row r="13" spans="1:16" ht="11.25" customHeight="1">
      <c r="A13" s="332" t="s">
        <v>726</v>
      </c>
      <c r="B13" s="333"/>
      <c r="C13" s="334"/>
      <c r="D13" s="6"/>
      <c r="E13" s="334"/>
      <c r="F13" s="6"/>
      <c r="G13" s="334"/>
      <c r="H13" s="6"/>
      <c r="I13" s="334"/>
      <c r="J13" s="334"/>
      <c r="K13" s="334"/>
      <c r="L13" s="10"/>
      <c r="M13" s="334"/>
      <c r="N13" s="334"/>
      <c r="O13" s="334"/>
      <c r="P13" s="335"/>
    </row>
    <row r="14" spans="1:16" ht="11.25" customHeight="1">
      <c r="A14" s="336" t="s">
        <v>127</v>
      </c>
      <c r="B14" s="333" t="s">
        <v>128</v>
      </c>
      <c r="C14" s="35">
        <v>15400</v>
      </c>
      <c r="D14" s="501"/>
      <c r="E14" s="35">
        <v>5</v>
      </c>
      <c r="F14" s="501"/>
      <c r="G14" s="35">
        <v>4860</v>
      </c>
      <c r="H14" s="501"/>
      <c r="I14" s="122" t="s">
        <v>756</v>
      </c>
      <c r="J14" s="11"/>
      <c r="K14" s="35">
        <v>1820</v>
      </c>
      <c r="L14" s="12"/>
      <c r="M14" s="35">
        <v>2</v>
      </c>
      <c r="N14" s="11"/>
      <c r="O14" s="35">
        <v>6690</v>
      </c>
      <c r="P14" s="13"/>
    </row>
    <row r="15" spans="1:16" ht="11.25" customHeight="1">
      <c r="A15" s="336" t="s">
        <v>129</v>
      </c>
      <c r="B15" s="333"/>
      <c r="C15" s="35">
        <v>14200</v>
      </c>
      <c r="D15" s="501"/>
      <c r="E15" s="35">
        <v>126</v>
      </c>
      <c r="F15" s="501"/>
      <c r="G15" s="35">
        <v>58200</v>
      </c>
      <c r="H15" s="501"/>
      <c r="I15" s="35">
        <v>874</v>
      </c>
      <c r="J15" s="11"/>
      <c r="K15" s="35">
        <v>39000</v>
      </c>
      <c r="L15" s="12"/>
      <c r="M15" s="35">
        <v>731</v>
      </c>
      <c r="N15" s="11"/>
      <c r="O15" s="35">
        <v>98800</v>
      </c>
      <c r="P15" s="13"/>
    </row>
    <row r="16" spans="1:16" ht="11.25" customHeight="1">
      <c r="A16" s="336" t="s">
        <v>130</v>
      </c>
      <c r="B16" s="333"/>
      <c r="C16" s="384">
        <v>8760</v>
      </c>
      <c r="D16" s="502"/>
      <c r="E16" s="467" t="s">
        <v>25</v>
      </c>
      <c r="F16" s="468"/>
      <c r="G16" s="384">
        <v>1630</v>
      </c>
      <c r="H16" s="502"/>
      <c r="I16" s="467" t="s">
        <v>25</v>
      </c>
      <c r="J16" s="468"/>
      <c r="K16" s="384">
        <v>55</v>
      </c>
      <c r="L16" s="470"/>
      <c r="M16" s="467" t="s">
        <v>25</v>
      </c>
      <c r="N16" s="468"/>
      <c r="O16" s="384">
        <v>1690</v>
      </c>
      <c r="P16" s="471"/>
    </row>
    <row r="17" spans="1:16" ht="11.25" customHeight="1">
      <c r="A17" s="338" t="s">
        <v>131</v>
      </c>
      <c r="B17" s="339"/>
      <c r="C17" s="384">
        <v>38400</v>
      </c>
      <c r="D17" s="502"/>
      <c r="E17" s="384">
        <v>131</v>
      </c>
      <c r="F17" s="502"/>
      <c r="G17" s="384">
        <v>64700</v>
      </c>
      <c r="H17" s="502"/>
      <c r="I17" s="384">
        <v>877</v>
      </c>
      <c r="J17" s="468"/>
      <c r="K17" s="384">
        <v>40800</v>
      </c>
      <c r="L17" s="470"/>
      <c r="M17" s="384">
        <v>734</v>
      </c>
      <c r="N17" s="468"/>
      <c r="O17" s="384">
        <v>107000</v>
      </c>
      <c r="P17" s="472"/>
    </row>
    <row r="18" spans="1:16" ht="11.25" customHeight="1">
      <c r="A18" s="723" t="s">
        <v>57</v>
      </c>
      <c r="B18" s="723"/>
      <c r="C18" s="723"/>
      <c r="D18" s="723"/>
      <c r="E18" s="723"/>
      <c r="F18" s="723"/>
      <c r="G18" s="723"/>
      <c r="H18" s="723"/>
      <c r="I18" s="723"/>
      <c r="J18" s="723"/>
      <c r="K18" s="723"/>
      <c r="L18" s="723"/>
      <c r="M18" s="723"/>
      <c r="N18" s="723"/>
      <c r="O18" s="723"/>
      <c r="P18" s="723"/>
    </row>
    <row r="19" spans="1:16" ht="11.25" customHeight="1">
      <c r="A19" s="695" t="s">
        <v>824</v>
      </c>
      <c r="B19" s="700"/>
      <c r="C19" s="700"/>
      <c r="D19" s="700"/>
      <c r="E19" s="700"/>
      <c r="F19" s="700"/>
      <c r="G19" s="700"/>
      <c r="H19" s="700"/>
      <c r="I19" s="700"/>
      <c r="J19" s="700"/>
      <c r="K19" s="700"/>
      <c r="L19" s="700"/>
      <c r="M19" s="700"/>
      <c r="N19" s="700"/>
      <c r="O19" s="700"/>
      <c r="P19" s="700"/>
    </row>
    <row r="20" spans="1:16" ht="11.25" customHeight="1">
      <c r="A20" s="752" t="s">
        <v>399</v>
      </c>
      <c r="B20" s="752"/>
      <c r="C20" s="752"/>
      <c r="D20" s="752"/>
      <c r="E20" s="752"/>
      <c r="F20" s="752"/>
      <c r="G20" s="752"/>
      <c r="H20" s="752"/>
      <c r="I20" s="752"/>
      <c r="J20" s="752"/>
      <c r="K20" s="752"/>
      <c r="L20" s="752"/>
      <c r="M20" s="752"/>
      <c r="N20" s="752"/>
      <c r="O20" s="752"/>
      <c r="P20" s="752"/>
    </row>
    <row r="21" spans="1:16" ht="11.25" customHeight="1">
      <c r="A21" s="693" t="s">
        <v>483</v>
      </c>
      <c r="B21" s="692"/>
      <c r="C21" s="692"/>
      <c r="D21" s="692"/>
      <c r="E21" s="692"/>
      <c r="F21" s="692"/>
      <c r="G21" s="692"/>
      <c r="H21" s="692"/>
      <c r="I21" s="692"/>
      <c r="J21" s="692"/>
      <c r="K21" s="692"/>
      <c r="L21" s="692"/>
      <c r="M21" s="692"/>
      <c r="N21" s="692"/>
      <c r="O21" s="692"/>
      <c r="P21" s="692"/>
    </row>
    <row r="22" spans="1:16" ht="11.25" customHeight="1">
      <c r="A22" s="748" t="s">
        <v>133</v>
      </c>
      <c r="B22" s="748"/>
      <c r="C22" s="748"/>
      <c r="D22" s="748"/>
      <c r="E22" s="748"/>
      <c r="F22" s="748"/>
      <c r="G22" s="748"/>
      <c r="H22" s="748"/>
      <c r="I22" s="748"/>
      <c r="J22" s="748"/>
      <c r="K22" s="748"/>
      <c r="L22" s="748"/>
      <c r="M22" s="748"/>
      <c r="N22" s="748"/>
      <c r="O22" s="748"/>
      <c r="P22" s="748"/>
    </row>
    <row r="23" spans="1:16" ht="11.25" customHeight="1">
      <c r="A23" s="748" t="s">
        <v>348</v>
      </c>
      <c r="B23" s="748"/>
      <c r="C23" s="748"/>
      <c r="D23" s="748"/>
      <c r="E23" s="748"/>
      <c r="F23" s="748"/>
      <c r="G23" s="748"/>
      <c r="H23" s="748"/>
      <c r="I23" s="748"/>
      <c r="J23" s="707"/>
      <c r="K23" s="707"/>
      <c r="L23" s="707"/>
      <c r="M23" s="707"/>
      <c r="N23" s="707"/>
      <c r="O23" s="707"/>
      <c r="P23" s="707"/>
    </row>
    <row r="24" spans="1:16" ht="11.25" customHeight="1">
      <c r="A24" s="748" t="s">
        <v>689</v>
      </c>
      <c r="B24" s="699"/>
      <c r="C24" s="699"/>
      <c r="D24" s="699"/>
      <c r="E24" s="699"/>
      <c r="F24" s="699"/>
      <c r="G24" s="699"/>
      <c r="H24" s="699"/>
      <c r="I24" s="699"/>
      <c r="J24" s="699"/>
      <c r="K24" s="699"/>
      <c r="L24" s="699"/>
      <c r="M24" s="699"/>
      <c r="N24" s="699"/>
      <c r="O24" s="699"/>
      <c r="P24" s="699"/>
    </row>
    <row r="25" spans="1:16" ht="11.25" customHeight="1"/>
    <row r="26" spans="1:16">
      <c r="G26" s="257"/>
      <c r="K26" s="257"/>
    </row>
  </sheetData>
  <mergeCells count="15">
    <mergeCell ref="A23:P23"/>
    <mergeCell ref="A24:P24"/>
    <mergeCell ref="A1:P1"/>
    <mergeCell ref="A2:P2"/>
    <mergeCell ref="A3:P3"/>
    <mergeCell ref="A4:P4"/>
    <mergeCell ref="A5:P5"/>
    <mergeCell ref="A21:P21"/>
    <mergeCell ref="A22:P22"/>
    <mergeCell ref="C6:E6"/>
    <mergeCell ref="G6:I6"/>
    <mergeCell ref="K6:M6"/>
    <mergeCell ref="A18:P18"/>
    <mergeCell ref="A20:P20"/>
    <mergeCell ref="A19:P19"/>
  </mergeCells>
  <pageMargins left="0.5" right="0.5" top="0.75" bottom="0.5" header="0.3" footer="0.3"/>
  <pageSetup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3"/>
  <sheetViews>
    <sheetView zoomScaleNormal="100" workbookViewId="0">
      <selection activeCell="J29" sqref="J29"/>
    </sheetView>
  </sheetViews>
  <sheetFormatPr defaultRowHeight="14"/>
  <cols>
    <col min="1" max="1" width="25.7265625" customWidth="1"/>
    <col min="2" max="2" width="1.7265625" customWidth="1"/>
    <col min="3" max="3" width="8.7265625" customWidth="1"/>
    <col min="4" max="4" width="1.7265625" customWidth="1"/>
    <col min="5" max="5" width="8.7265625" customWidth="1"/>
    <col min="6" max="6" width="2.7265625" customWidth="1"/>
    <col min="7" max="7" width="8.7265625" customWidth="1"/>
    <col min="8" max="8" width="2.7265625" customWidth="1"/>
    <col min="9" max="9" width="1.7265625" customWidth="1"/>
    <col min="10" max="10" width="8.7265625" customWidth="1"/>
    <col min="11" max="11" width="1.7265625" customWidth="1"/>
    <col min="12" max="12" width="8.7265625" customWidth="1"/>
    <col min="13" max="13" width="1.7265625" customWidth="1"/>
    <col min="14" max="14" width="8.7265625" customWidth="1"/>
    <col min="15" max="15" width="1.7265625" customWidth="1"/>
    <col min="19" max="19" width="13.7265625" customWidth="1"/>
    <col min="26" max="26" width="11.453125" customWidth="1"/>
  </cols>
  <sheetData>
    <row r="1" spans="1:18" ht="11.25" customHeight="1">
      <c r="A1" s="757" t="s">
        <v>134</v>
      </c>
      <c r="B1" s="757"/>
      <c r="C1" s="757"/>
      <c r="D1" s="757"/>
      <c r="E1" s="757"/>
      <c r="F1" s="757"/>
      <c r="G1" s="757"/>
      <c r="H1" s="757"/>
      <c r="I1" s="757"/>
      <c r="J1" s="757"/>
      <c r="K1" s="757"/>
      <c r="L1" s="757"/>
      <c r="M1" s="757"/>
      <c r="N1" s="757"/>
      <c r="O1" s="757"/>
    </row>
    <row r="2" spans="1:18" ht="11.25" customHeight="1">
      <c r="A2" s="757" t="s">
        <v>779</v>
      </c>
      <c r="B2" s="757"/>
      <c r="C2" s="757"/>
      <c r="D2" s="757"/>
      <c r="E2" s="757"/>
      <c r="F2" s="757"/>
      <c r="G2" s="757"/>
      <c r="H2" s="757"/>
      <c r="I2" s="757"/>
      <c r="J2" s="757"/>
      <c r="K2" s="757"/>
      <c r="L2" s="757"/>
      <c r="M2" s="757"/>
      <c r="N2" s="757"/>
      <c r="O2" s="691"/>
    </row>
    <row r="3" spans="1:18" ht="11.25" customHeight="1">
      <c r="A3" s="758"/>
      <c r="B3" s="691"/>
      <c r="C3" s="691"/>
      <c r="D3" s="691"/>
      <c r="E3" s="691"/>
      <c r="F3" s="691"/>
      <c r="G3" s="691"/>
      <c r="H3" s="691"/>
      <c r="I3" s="691"/>
      <c r="J3" s="691"/>
      <c r="K3" s="691"/>
      <c r="L3" s="691"/>
      <c r="M3" s="691"/>
      <c r="N3" s="691"/>
      <c r="O3" s="691"/>
    </row>
    <row r="4" spans="1:18" ht="11.25" customHeight="1">
      <c r="A4" s="181"/>
      <c r="B4" s="181"/>
      <c r="C4" s="759" t="s">
        <v>533</v>
      </c>
      <c r="D4" s="759"/>
      <c r="E4" s="759"/>
      <c r="F4" s="759"/>
      <c r="G4" s="759"/>
      <c r="H4" s="760"/>
      <c r="I4" s="182"/>
      <c r="J4" s="759" t="s">
        <v>724</v>
      </c>
      <c r="K4" s="759"/>
      <c r="L4" s="759"/>
      <c r="M4" s="759"/>
      <c r="N4" s="759"/>
      <c r="O4" s="760"/>
    </row>
    <row r="5" spans="1:18" ht="11.25" customHeight="1">
      <c r="A5" s="183"/>
      <c r="B5" s="183"/>
      <c r="C5" s="134"/>
      <c r="D5" s="175"/>
      <c r="E5" s="754" t="s">
        <v>411</v>
      </c>
      <c r="F5" s="755"/>
      <c r="G5" s="755"/>
      <c r="H5" s="175"/>
      <c r="I5" s="183"/>
      <c r="J5" s="134"/>
      <c r="K5" s="175"/>
      <c r="L5" s="754" t="s">
        <v>411</v>
      </c>
      <c r="M5" s="755"/>
      <c r="N5" s="755"/>
      <c r="O5" s="175"/>
    </row>
    <row r="6" spans="1:18" ht="11.25" customHeight="1">
      <c r="A6" s="183"/>
      <c r="B6" s="183"/>
      <c r="C6" s="183" t="s">
        <v>135</v>
      </c>
      <c r="D6" s="134"/>
      <c r="E6" s="183"/>
      <c r="F6" s="183"/>
      <c r="G6" s="651" t="s">
        <v>783</v>
      </c>
      <c r="H6" s="134"/>
      <c r="I6" s="183"/>
      <c r="J6" s="183" t="s">
        <v>135</v>
      </c>
      <c r="K6" s="134"/>
      <c r="L6" s="183"/>
      <c r="M6" s="183"/>
      <c r="N6" s="651" t="s">
        <v>783</v>
      </c>
      <c r="O6" s="134"/>
    </row>
    <row r="7" spans="1:18" ht="11.25" customHeight="1">
      <c r="A7" s="183"/>
      <c r="B7" s="183"/>
      <c r="C7" s="183" t="s">
        <v>46</v>
      </c>
      <c r="D7" s="134"/>
      <c r="E7" s="183" t="s">
        <v>52</v>
      </c>
      <c r="F7" s="134"/>
      <c r="G7" s="183" t="s">
        <v>136</v>
      </c>
      <c r="H7" s="134"/>
      <c r="I7" s="183"/>
      <c r="J7" s="183" t="s">
        <v>46</v>
      </c>
      <c r="K7" s="134"/>
      <c r="L7" s="183" t="s">
        <v>52</v>
      </c>
      <c r="M7" s="134"/>
      <c r="N7" s="183" t="s">
        <v>136</v>
      </c>
      <c r="O7" s="134"/>
    </row>
    <row r="8" spans="1:18" ht="11.25" customHeight="1">
      <c r="A8" s="184" t="s">
        <v>168</v>
      </c>
      <c r="B8" s="184"/>
      <c r="C8" s="340" t="s">
        <v>53</v>
      </c>
      <c r="D8" s="298"/>
      <c r="E8" s="340" t="s">
        <v>137</v>
      </c>
      <c r="F8" s="298"/>
      <c r="G8" s="340" t="s">
        <v>138</v>
      </c>
      <c r="H8" s="298"/>
      <c r="I8" s="185"/>
      <c r="J8" s="340" t="s">
        <v>53</v>
      </c>
      <c r="K8" s="298"/>
      <c r="L8" s="340" t="s">
        <v>137</v>
      </c>
      <c r="M8" s="298"/>
      <c r="N8" s="340" t="s">
        <v>138</v>
      </c>
      <c r="O8" s="298"/>
    </row>
    <row r="9" spans="1:18" ht="11.25" customHeight="1">
      <c r="A9" s="178" t="s">
        <v>7</v>
      </c>
      <c r="B9" s="14"/>
      <c r="C9" s="5">
        <v>2877</v>
      </c>
      <c r="D9" s="150"/>
      <c r="E9" s="341">
        <v>374551</v>
      </c>
      <c r="F9" s="150"/>
      <c r="G9" s="342">
        <v>130.19</v>
      </c>
      <c r="H9" s="343"/>
      <c r="I9" s="473"/>
      <c r="J9" s="5">
        <v>2450</v>
      </c>
      <c r="K9" s="150"/>
      <c r="L9" s="341">
        <v>363493</v>
      </c>
      <c r="M9" s="150"/>
      <c r="N9" s="342">
        <v>148.38999999999999</v>
      </c>
      <c r="O9" s="343"/>
      <c r="P9" s="406"/>
      <c r="R9" s="399"/>
    </row>
    <row r="10" spans="1:18" ht="11.25" customHeight="1">
      <c r="A10" s="178" t="s">
        <v>493</v>
      </c>
      <c r="B10" s="14"/>
      <c r="C10" s="5">
        <v>3940</v>
      </c>
      <c r="D10" s="150"/>
      <c r="E10" s="5">
        <v>473000</v>
      </c>
      <c r="F10" s="150"/>
      <c r="G10" s="344">
        <v>120</v>
      </c>
      <c r="H10" s="150"/>
      <c r="I10" s="47"/>
      <c r="J10" s="5">
        <v>3480</v>
      </c>
      <c r="K10" s="150"/>
      <c r="L10" s="5">
        <v>483000</v>
      </c>
      <c r="M10" s="150"/>
      <c r="N10" s="344">
        <v>139</v>
      </c>
      <c r="O10" s="150"/>
      <c r="P10" s="406"/>
      <c r="R10" s="399"/>
    </row>
    <row r="11" spans="1:18" ht="11.25" customHeight="1">
      <c r="A11" s="178" t="s">
        <v>9</v>
      </c>
      <c r="B11" s="14"/>
      <c r="C11" s="5">
        <v>1810</v>
      </c>
      <c r="D11" s="405" t="s">
        <v>690</v>
      </c>
      <c r="E11" s="5">
        <v>235000</v>
      </c>
      <c r="F11" s="405" t="s">
        <v>690</v>
      </c>
      <c r="G11" s="344">
        <v>130</v>
      </c>
      <c r="H11" s="405" t="s">
        <v>690</v>
      </c>
      <c r="I11" s="474"/>
      <c r="J11" s="5">
        <v>1660</v>
      </c>
      <c r="K11" s="405"/>
      <c r="L11" s="5">
        <v>229000</v>
      </c>
      <c r="M11" s="405" t="s">
        <v>690</v>
      </c>
      <c r="N11" s="344">
        <v>138</v>
      </c>
      <c r="O11" s="405" t="s">
        <v>690</v>
      </c>
      <c r="P11" s="406"/>
      <c r="R11" s="399"/>
    </row>
    <row r="12" spans="1:18" ht="11.25" customHeight="1">
      <c r="A12" s="178" t="s">
        <v>34</v>
      </c>
      <c r="B12" s="14"/>
      <c r="C12" s="5">
        <v>3878</v>
      </c>
      <c r="D12" s="150"/>
      <c r="E12" s="5">
        <v>590185</v>
      </c>
      <c r="F12" s="150"/>
      <c r="G12" s="344">
        <v>152.18</v>
      </c>
      <c r="H12" s="150"/>
      <c r="I12" s="474"/>
      <c r="J12" s="5">
        <v>4018</v>
      </c>
      <c r="K12" s="150"/>
      <c r="L12" s="5">
        <v>721787</v>
      </c>
      <c r="M12" s="150"/>
      <c r="N12" s="344">
        <v>179.62</v>
      </c>
      <c r="O12" s="150"/>
      <c r="P12" s="406"/>
      <c r="R12" s="399"/>
    </row>
    <row r="13" spans="1:18" ht="11.25" customHeight="1">
      <c r="A13" s="178" t="s">
        <v>35</v>
      </c>
      <c r="B13" s="14"/>
      <c r="C13" s="5">
        <v>5569</v>
      </c>
      <c r="D13" s="150"/>
      <c r="E13" s="5">
        <v>860000</v>
      </c>
      <c r="F13" s="405" t="s">
        <v>827</v>
      </c>
      <c r="G13" s="344">
        <v>154.5</v>
      </c>
      <c r="H13" s="405" t="s">
        <v>827</v>
      </c>
      <c r="I13" s="47"/>
      <c r="J13" s="5">
        <v>5593</v>
      </c>
      <c r="K13" s="150"/>
      <c r="L13" s="5">
        <v>878000</v>
      </c>
      <c r="M13" s="405" t="s">
        <v>690</v>
      </c>
      <c r="N13" s="344">
        <v>157</v>
      </c>
      <c r="O13" s="405" t="s">
        <v>690</v>
      </c>
      <c r="P13" s="406"/>
      <c r="R13" s="399"/>
    </row>
    <row r="14" spans="1:18" ht="11.25" customHeight="1">
      <c r="A14" s="178" t="s">
        <v>13</v>
      </c>
      <c r="B14" s="14"/>
      <c r="C14" s="5">
        <v>4081</v>
      </c>
      <c r="D14" s="150"/>
      <c r="E14" s="5">
        <v>617397</v>
      </c>
      <c r="F14" s="150"/>
      <c r="G14" s="344">
        <v>151.30000000000001</v>
      </c>
      <c r="H14" s="150"/>
      <c r="I14" s="474"/>
      <c r="J14" s="5">
        <v>3960</v>
      </c>
      <c r="K14" s="150"/>
      <c r="L14" s="5">
        <v>673002</v>
      </c>
      <c r="M14" s="150"/>
      <c r="N14" s="344">
        <v>169.96</v>
      </c>
      <c r="O14" s="150"/>
      <c r="P14" s="406"/>
      <c r="R14" s="399"/>
    </row>
    <row r="15" spans="1:18" ht="11.25" customHeight="1">
      <c r="A15" s="178" t="s">
        <v>14</v>
      </c>
      <c r="B15" s="14"/>
      <c r="C15" s="5">
        <v>1933</v>
      </c>
      <c r="D15" s="150"/>
      <c r="E15" s="5">
        <v>205279</v>
      </c>
      <c r="F15" s="150"/>
      <c r="G15" s="344">
        <v>106.22</v>
      </c>
      <c r="H15" s="150"/>
      <c r="I15" s="47"/>
      <c r="J15" s="5">
        <v>2005</v>
      </c>
      <c r="K15" s="150"/>
      <c r="L15" s="5">
        <v>222214</v>
      </c>
      <c r="M15" s="150"/>
      <c r="N15" s="344">
        <v>110.86</v>
      </c>
      <c r="O15" s="150"/>
      <c r="P15" s="406"/>
      <c r="R15" s="399"/>
    </row>
    <row r="16" spans="1:18" ht="11.25" customHeight="1">
      <c r="A16" s="178" t="s">
        <v>15</v>
      </c>
      <c r="B16" s="14"/>
      <c r="C16" s="5">
        <v>9845</v>
      </c>
      <c r="D16" s="150"/>
      <c r="E16" s="5">
        <v>1310000</v>
      </c>
      <c r="F16" s="405" t="s">
        <v>827</v>
      </c>
      <c r="G16" s="344">
        <v>133</v>
      </c>
      <c r="H16" s="405" t="s">
        <v>827</v>
      </c>
      <c r="I16" s="47"/>
      <c r="J16" s="5">
        <v>9727</v>
      </c>
      <c r="K16" s="150"/>
      <c r="L16" s="5">
        <v>1450000</v>
      </c>
      <c r="M16" s="405" t="s">
        <v>690</v>
      </c>
      <c r="N16" s="344">
        <v>149</v>
      </c>
      <c r="O16" s="405" t="s">
        <v>690</v>
      </c>
      <c r="P16" s="406"/>
      <c r="R16" s="399"/>
    </row>
    <row r="17" spans="1:18" ht="11.25" customHeight="1">
      <c r="A17" s="178" t="s">
        <v>16</v>
      </c>
      <c r="B17" s="14"/>
      <c r="C17" s="5">
        <v>8942</v>
      </c>
      <c r="D17" s="405"/>
      <c r="E17" s="5">
        <v>1100000</v>
      </c>
      <c r="F17" s="405" t="s">
        <v>827</v>
      </c>
      <c r="G17" s="344">
        <v>123</v>
      </c>
      <c r="H17" s="405" t="s">
        <v>827</v>
      </c>
      <c r="I17" s="47"/>
      <c r="J17" s="5">
        <v>8566</v>
      </c>
      <c r="K17" s="405"/>
      <c r="L17" s="5">
        <v>1110000</v>
      </c>
      <c r="M17" s="405" t="s">
        <v>690</v>
      </c>
      <c r="N17" s="344">
        <v>129.5</v>
      </c>
      <c r="O17" s="405" t="s">
        <v>690</v>
      </c>
      <c r="P17" s="406"/>
      <c r="R17" s="399"/>
    </row>
    <row r="18" spans="1:18" ht="11.25" customHeight="1">
      <c r="A18" s="178" t="s">
        <v>17</v>
      </c>
      <c r="B18" s="14"/>
      <c r="C18" s="5">
        <v>5909</v>
      </c>
      <c r="D18" s="405"/>
      <c r="E18" s="5">
        <v>782445</v>
      </c>
      <c r="F18" s="405"/>
      <c r="G18" s="344">
        <v>132.41999999999999</v>
      </c>
      <c r="H18" s="405"/>
      <c r="I18" s="474"/>
      <c r="J18" s="5">
        <v>5850</v>
      </c>
      <c r="K18" s="405" t="s">
        <v>690</v>
      </c>
      <c r="L18" s="5">
        <v>912000</v>
      </c>
      <c r="M18" s="405" t="s">
        <v>690</v>
      </c>
      <c r="N18" s="344">
        <v>156</v>
      </c>
      <c r="O18" s="405" t="s">
        <v>690</v>
      </c>
      <c r="P18" s="406"/>
      <c r="R18" s="399"/>
    </row>
    <row r="19" spans="1:18" ht="11.25" customHeight="1">
      <c r="A19" s="178" t="s">
        <v>18</v>
      </c>
      <c r="B19" s="14"/>
      <c r="C19" s="5">
        <v>3773</v>
      </c>
      <c r="D19" s="405"/>
      <c r="E19" s="5">
        <v>504000</v>
      </c>
      <c r="F19" s="405" t="s">
        <v>827</v>
      </c>
      <c r="G19" s="344">
        <v>133.5</v>
      </c>
      <c r="H19" s="405" t="s">
        <v>827</v>
      </c>
      <c r="I19" s="474"/>
      <c r="J19" s="5">
        <v>3701</v>
      </c>
      <c r="K19" s="405"/>
      <c r="L19" s="5">
        <v>540000</v>
      </c>
      <c r="M19" s="405" t="s">
        <v>690</v>
      </c>
      <c r="N19" s="344">
        <v>146</v>
      </c>
      <c r="O19" s="405" t="s">
        <v>690</v>
      </c>
      <c r="P19" s="406"/>
      <c r="R19" s="399"/>
    </row>
    <row r="20" spans="1:18" ht="11.25" customHeight="1">
      <c r="A20" s="178" t="s">
        <v>37</v>
      </c>
      <c r="B20" s="14"/>
      <c r="C20" s="5">
        <v>6599</v>
      </c>
      <c r="D20" s="405"/>
      <c r="E20" s="5">
        <v>912000</v>
      </c>
      <c r="F20" s="405" t="s">
        <v>827</v>
      </c>
      <c r="G20" s="344">
        <v>138</v>
      </c>
      <c r="H20" s="405" t="s">
        <v>827</v>
      </c>
      <c r="I20" s="474"/>
      <c r="J20" s="5">
        <v>8041</v>
      </c>
      <c r="K20" s="405"/>
      <c r="L20" s="5">
        <v>1260000</v>
      </c>
      <c r="M20" s="405" t="s">
        <v>690</v>
      </c>
      <c r="N20" s="344">
        <v>156.5</v>
      </c>
      <c r="O20" s="405" t="s">
        <v>690</v>
      </c>
      <c r="P20" s="406"/>
      <c r="R20" s="399"/>
    </row>
    <row r="21" spans="1:18" ht="11.25" customHeight="1">
      <c r="A21" s="178" t="s">
        <v>19</v>
      </c>
      <c r="B21" s="14"/>
      <c r="C21" s="5">
        <v>2302</v>
      </c>
      <c r="D21" s="405"/>
      <c r="E21" s="5">
        <v>292554</v>
      </c>
      <c r="F21" s="405"/>
      <c r="G21" s="344">
        <v>127.06</v>
      </c>
      <c r="H21" s="405"/>
      <c r="I21" s="474"/>
      <c r="J21" s="5">
        <v>2301</v>
      </c>
      <c r="K21" s="405"/>
      <c r="L21" s="5">
        <v>310539</v>
      </c>
      <c r="M21" s="405"/>
      <c r="N21" s="344">
        <v>134.97999999999999</v>
      </c>
      <c r="O21" s="405"/>
      <c r="P21" s="406"/>
      <c r="R21" s="399"/>
    </row>
    <row r="22" spans="1:18" ht="11.25" customHeight="1">
      <c r="A22" s="178" t="s">
        <v>784</v>
      </c>
      <c r="B22" s="14"/>
      <c r="C22" s="5">
        <v>7790</v>
      </c>
      <c r="D22" s="150"/>
      <c r="E22" s="5">
        <v>1130000</v>
      </c>
      <c r="F22" s="150"/>
      <c r="G22" s="344">
        <v>144.5</v>
      </c>
      <c r="H22" s="150"/>
      <c r="I22" s="474"/>
      <c r="J22" s="5">
        <v>7780</v>
      </c>
      <c r="K22" s="150"/>
      <c r="L22" s="5">
        <v>1240000</v>
      </c>
      <c r="M22" s="150"/>
      <c r="N22" s="344">
        <v>159.5</v>
      </c>
      <c r="O22" s="150"/>
      <c r="P22" s="406"/>
      <c r="R22" s="399"/>
    </row>
    <row r="23" spans="1:18" ht="11.25" customHeight="1">
      <c r="A23" s="178" t="s">
        <v>785</v>
      </c>
      <c r="B23" s="14"/>
      <c r="C23" s="5">
        <v>8060</v>
      </c>
      <c r="D23" s="405"/>
      <c r="E23" s="5">
        <v>1160000</v>
      </c>
      <c r="F23" s="405"/>
      <c r="G23" s="344">
        <v>144.5</v>
      </c>
      <c r="H23" s="405"/>
      <c r="I23" s="47"/>
      <c r="J23" s="5">
        <v>9670</v>
      </c>
      <c r="K23" s="405"/>
      <c r="L23" s="5">
        <v>1570000</v>
      </c>
      <c r="M23" s="405"/>
      <c r="N23" s="344">
        <v>162.5</v>
      </c>
      <c r="O23" s="405"/>
      <c r="P23" s="406"/>
      <c r="R23" s="399"/>
    </row>
    <row r="24" spans="1:18" ht="11.25" customHeight="1">
      <c r="A24" s="178" t="s">
        <v>22</v>
      </c>
      <c r="B24" s="14"/>
      <c r="C24" s="5">
        <v>5534</v>
      </c>
      <c r="D24" s="150"/>
      <c r="E24" s="5">
        <v>742519</v>
      </c>
      <c r="F24" s="150"/>
      <c r="G24" s="344">
        <v>134.16999999999999</v>
      </c>
      <c r="H24" s="150"/>
      <c r="I24" s="47"/>
      <c r="J24" s="5">
        <v>5014</v>
      </c>
      <c r="K24" s="150"/>
      <c r="L24" s="5">
        <v>765000</v>
      </c>
      <c r="M24" s="405" t="s">
        <v>690</v>
      </c>
      <c r="N24" s="344">
        <v>152.5</v>
      </c>
      <c r="O24" s="405" t="s">
        <v>690</v>
      </c>
      <c r="P24" s="406"/>
      <c r="R24" s="399"/>
    </row>
    <row r="25" spans="1:18" ht="11.25" customHeight="1">
      <c r="A25" s="178" t="s">
        <v>23</v>
      </c>
      <c r="B25" s="14"/>
      <c r="C25" s="5">
        <v>2896</v>
      </c>
      <c r="D25" s="150"/>
      <c r="E25" s="5">
        <v>504097</v>
      </c>
      <c r="F25" s="150"/>
      <c r="G25" s="344">
        <v>174.05</v>
      </c>
      <c r="H25" s="150"/>
      <c r="I25" s="474"/>
      <c r="J25" s="5">
        <v>2732</v>
      </c>
      <c r="K25" s="150"/>
      <c r="L25" s="5">
        <v>512243</v>
      </c>
      <c r="M25" s="150"/>
      <c r="N25" s="344">
        <v>187.47</v>
      </c>
      <c r="O25" s="150"/>
      <c r="P25" s="406"/>
      <c r="R25" s="399"/>
    </row>
    <row r="26" spans="1:18" ht="11.25" customHeight="1">
      <c r="A26" s="178" t="s">
        <v>139</v>
      </c>
      <c r="B26" s="14"/>
      <c r="C26" s="5">
        <v>2760</v>
      </c>
      <c r="D26" s="405" t="s">
        <v>690</v>
      </c>
      <c r="E26" s="5">
        <v>426000</v>
      </c>
      <c r="F26" s="405" t="s">
        <v>690</v>
      </c>
      <c r="G26" s="344">
        <v>154.5</v>
      </c>
      <c r="H26" s="405" t="s">
        <v>690</v>
      </c>
      <c r="I26" s="474"/>
      <c r="J26" s="5">
        <v>2479</v>
      </c>
      <c r="K26" s="405"/>
      <c r="L26" s="5">
        <v>394000</v>
      </c>
      <c r="M26" s="405" t="s">
        <v>690</v>
      </c>
      <c r="N26" s="344">
        <v>159</v>
      </c>
      <c r="O26" s="405" t="s">
        <v>690</v>
      </c>
      <c r="P26" s="406"/>
      <c r="R26" s="399"/>
    </row>
    <row r="27" spans="1:18" ht="11.25" customHeight="1">
      <c r="A27" s="178" t="s">
        <v>24</v>
      </c>
      <c r="B27" s="14"/>
      <c r="C27" s="5">
        <v>385</v>
      </c>
      <c r="D27" s="150"/>
      <c r="E27" s="5">
        <v>71000</v>
      </c>
      <c r="F27" s="405" t="s">
        <v>827</v>
      </c>
      <c r="G27" s="344">
        <v>184.5</v>
      </c>
      <c r="H27" s="405" t="s">
        <v>827</v>
      </c>
      <c r="I27" s="47"/>
      <c r="J27" s="5">
        <v>430</v>
      </c>
      <c r="K27" s="150"/>
      <c r="L27" s="5">
        <v>81000</v>
      </c>
      <c r="M27" s="405" t="s">
        <v>690</v>
      </c>
      <c r="N27" s="344">
        <v>187.5</v>
      </c>
      <c r="O27" s="405" t="s">
        <v>690</v>
      </c>
      <c r="P27" s="406"/>
      <c r="R27" s="399"/>
    </row>
    <row r="28" spans="1:18" ht="11.25" customHeight="1">
      <c r="A28" s="178" t="s">
        <v>786</v>
      </c>
      <c r="B28" s="14"/>
      <c r="C28" s="5">
        <v>10250</v>
      </c>
      <c r="D28" s="405"/>
      <c r="E28" s="5">
        <v>1330000</v>
      </c>
      <c r="F28" s="405"/>
      <c r="G28" s="344">
        <v>130</v>
      </c>
      <c r="H28" s="405"/>
      <c r="I28" s="474"/>
      <c r="J28" s="5">
        <v>9690</v>
      </c>
      <c r="K28" s="405"/>
      <c r="L28" s="5">
        <v>1300000</v>
      </c>
      <c r="M28" s="405"/>
      <c r="N28" s="344">
        <v>134</v>
      </c>
      <c r="O28" s="405"/>
      <c r="P28" s="406"/>
      <c r="R28" s="399"/>
    </row>
    <row r="29" spans="1:18" ht="11.25" customHeight="1">
      <c r="A29" s="178" t="s">
        <v>27</v>
      </c>
      <c r="B29" s="14"/>
      <c r="C29" s="5">
        <v>2884</v>
      </c>
      <c r="D29" s="150"/>
      <c r="E29" s="5">
        <v>395000</v>
      </c>
      <c r="F29" s="405" t="s">
        <v>827</v>
      </c>
      <c r="G29" s="344">
        <v>137</v>
      </c>
      <c r="H29" s="405" t="s">
        <v>827</v>
      </c>
      <c r="I29" s="474"/>
      <c r="J29" s="5">
        <v>2019</v>
      </c>
      <c r="K29" s="150"/>
      <c r="L29" s="5">
        <v>304000</v>
      </c>
      <c r="M29" s="405" t="s">
        <v>690</v>
      </c>
      <c r="N29" s="344">
        <v>150.5</v>
      </c>
      <c r="O29" s="405" t="s">
        <v>690</v>
      </c>
      <c r="P29" s="406"/>
      <c r="R29" s="399"/>
    </row>
    <row r="30" spans="1:18" ht="11.25" customHeight="1">
      <c r="A30" s="178" t="s">
        <v>494</v>
      </c>
      <c r="B30" s="14"/>
      <c r="C30" s="453">
        <v>5820</v>
      </c>
      <c r="D30" s="150"/>
      <c r="E30" s="5">
        <v>841000</v>
      </c>
      <c r="F30" s="150"/>
      <c r="G30" s="344">
        <v>144.5</v>
      </c>
      <c r="H30" s="150"/>
      <c r="I30" s="475"/>
      <c r="J30" s="453">
        <v>6030</v>
      </c>
      <c r="K30" s="150"/>
      <c r="L30" s="5">
        <v>878000</v>
      </c>
      <c r="M30" s="150"/>
      <c r="N30" s="344">
        <v>145.5</v>
      </c>
      <c r="O30" s="150"/>
      <c r="P30" s="406"/>
      <c r="R30" s="635"/>
    </row>
    <row r="31" spans="1:18" ht="11.25" customHeight="1">
      <c r="A31" s="179" t="s">
        <v>495</v>
      </c>
      <c r="B31" s="14"/>
      <c r="C31" s="5">
        <v>108000</v>
      </c>
      <c r="D31" s="476"/>
      <c r="E31" s="448">
        <v>14900000</v>
      </c>
      <c r="F31" s="476"/>
      <c r="G31" s="477">
        <v>138</v>
      </c>
      <c r="H31" s="345"/>
      <c r="I31" s="47"/>
      <c r="J31" s="5">
        <v>107000</v>
      </c>
      <c r="K31" s="476"/>
      <c r="L31" s="448">
        <v>16200000</v>
      </c>
      <c r="M31" s="476"/>
      <c r="N31" s="477">
        <v>151</v>
      </c>
      <c r="O31" s="345"/>
      <c r="P31" s="406"/>
      <c r="R31" s="399"/>
    </row>
    <row r="32" spans="1:18" ht="11.25" customHeight="1">
      <c r="A32" s="178" t="s">
        <v>28</v>
      </c>
      <c r="B32" s="14"/>
      <c r="C32" s="296">
        <v>661</v>
      </c>
      <c r="D32" s="346"/>
      <c r="E32" s="347" t="s">
        <v>36</v>
      </c>
      <c r="F32" s="348"/>
      <c r="G32" s="349" t="s">
        <v>36</v>
      </c>
      <c r="H32" s="346"/>
      <c r="I32" s="478"/>
      <c r="J32" s="296">
        <v>648</v>
      </c>
      <c r="K32" s="346"/>
      <c r="L32" s="347" t="s">
        <v>36</v>
      </c>
      <c r="M32" s="348"/>
      <c r="N32" s="349" t="s">
        <v>36</v>
      </c>
      <c r="O32" s="346"/>
    </row>
    <row r="33" spans="1:28" ht="11.25" customHeight="1">
      <c r="A33" s="180" t="s">
        <v>787</v>
      </c>
      <c r="B33" s="123"/>
      <c r="C33" s="5">
        <v>108000</v>
      </c>
      <c r="D33" s="479"/>
      <c r="E33" s="480" t="s">
        <v>36</v>
      </c>
      <c r="F33" s="481"/>
      <c r="G33" s="454" t="s">
        <v>36</v>
      </c>
      <c r="H33" s="350"/>
      <c r="I33" s="482"/>
      <c r="J33" s="5">
        <v>108000</v>
      </c>
      <c r="K33" s="479"/>
      <c r="L33" s="480" t="s">
        <v>36</v>
      </c>
      <c r="M33" s="481"/>
      <c r="N33" s="454" t="s">
        <v>36</v>
      </c>
      <c r="O33" s="350"/>
    </row>
    <row r="34" spans="1:28" ht="11.25" customHeight="1">
      <c r="A34" s="756" t="s">
        <v>826</v>
      </c>
      <c r="B34" s="702"/>
      <c r="C34" s="702"/>
      <c r="D34" s="702"/>
      <c r="E34" s="702"/>
      <c r="F34" s="702"/>
      <c r="G34" s="702"/>
      <c r="H34" s="702"/>
      <c r="I34" s="702"/>
      <c r="J34" s="702"/>
      <c r="K34" s="702"/>
      <c r="L34" s="702"/>
      <c r="M34" s="702"/>
      <c r="N34" s="702"/>
      <c r="O34" s="702"/>
    </row>
    <row r="35" spans="1:28" ht="22.5" customHeight="1">
      <c r="A35" s="695" t="s">
        <v>825</v>
      </c>
      <c r="B35" s="700"/>
      <c r="C35" s="700"/>
      <c r="D35" s="700"/>
      <c r="E35" s="700"/>
      <c r="F35" s="700"/>
      <c r="G35" s="700"/>
      <c r="H35" s="700"/>
      <c r="I35" s="700"/>
      <c r="J35" s="700"/>
      <c r="K35" s="700"/>
      <c r="L35" s="700"/>
      <c r="M35" s="700"/>
      <c r="N35" s="700"/>
      <c r="O35" s="700"/>
    </row>
    <row r="36" spans="1:28" ht="22.5" customHeight="1">
      <c r="A36" s="695" t="s">
        <v>412</v>
      </c>
      <c r="B36" s="700"/>
      <c r="C36" s="700"/>
      <c r="D36" s="700"/>
      <c r="E36" s="700"/>
      <c r="F36" s="700"/>
      <c r="G36" s="700"/>
      <c r="H36" s="700"/>
      <c r="I36" s="700"/>
      <c r="J36" s="700"/>
      <c r="K36" s="700"/>
      <c r="L36" s="700"/>
      <c r="M36" s="700"/>
      <c r="N36" s="700"/>
      <c r="O36" s="700"/>
    </row>
    <row r="37" spans="1:28" ht="22.5" customHeight="1">
      <c r="A37" s="695" t="s">
        <v>396</v>
      </c>
      <c r="B37" s="700"/>
      <c r="C37" s="700"/>
      <c r="D37" s="700"/>
      <c r="E37" s="700"/>
      <c r="F37" s="700"/>
      <c r="G37" s="700"/>
      <c r="H37" s="700"/>
      <c r="I37" s="700"/>
      <c r="J37" s="700"/>
      <c r="K37" s="700"/>
      <c r="L37" s="700"/>
      <c r="M37" s="700"/>
      <c r="N37" s="700"/>
      <c r="O37" s="700"/>
    </row>
    <row r="38" spans="1:28" ht="45" customHeight="1">
      <c r="A38" s="753" t="s">
        <v>691</v>
      </c>
      <c r="B38" s="700"/>
      <c r="C38" s="700"/>
      <c r="D38" s="700"/>
      <c r="E38" s="700"/>
      <c r="F38" s="700"/>
      <c r="G38" s="700"/>
      <c r="H38" s="700"/>
      <c r="I38" s="700"/>
      <c r="J38" s="700"/>
      <c r="K38" s="700"/>
      <c r="L38" s="700"/>
      <c r="M38" s="700"/>
      <c r="N38" s="700"/>
      <c r="O38" s="700"/>
    </row>
    <row r="39" spans="1:28" ht="11.25" customHeight="1">
      <c r="A39" s="692" t="s">
        <v>780</v>
      </c>
      <c r="B39" s="699"/>
      <c r="C39" s="699"/>
      <c r="D39" s="699"/>
      <c r="E39" s="699"/>
      <c r="F39" s="699"/>
      <c r="G39" s="699"/>
      <c r="H39" s="699"/>
      <c r="I39" s="699"/>
      <c r="J39" s="699"/>
      <c r="K39" s="699"/>
      <c r="L39" s="699"/>
      <c r="M39" s="699"/>
      <c r="N39" s="699"/>
      <c r="O39" s="699"/>
    </row>
    <row r="40" spans="1:28" ht="11.25" customHeight="1">
      <c r="A40" s="692" t="s">
        <v>781</v>
      </c>
      <c r="B40" s="699"/>
      <c r="C40" s="699"/>
      <c r="D40" s="699"/>
      <c r="E40" s="699"/>
      <c r="F40" s="699"/>
      <c r="G40" s="699"/>
      <c r="H40" s="699"/>
      <c r="I40" s="699"/>
      <c r="J40" s="699"/>
      <c r="K40" s="699"/>
      <c r="L40" s="699"/>
      <c r="M40" s="699"/>
      <c r="N40" s="699"/>
      <c r="O40" s="699"/>
    </row>
    <row r="41" spans="1:28" ht="11.25" customHeight="1">
      <c r="A41" s="692" t="s">
        <v>782</v>
      </c>
      <c r="B41" s="699"/>
      <c r="C41" s="699"/>
      <c r="D41" s="699"/>
      <c r="E41" s="699"/>
      <c r="F41" s="699"/>
      <c r="G41" s="699"/>
      <c r="H41" s="699"/>
      <c r="I41" s="699"/>
      <c r="J41" s="699"/>
      <c r="K41" s="699"/>
      <c r="L41" s="699"/>
      <c r="M41" s="699"/>
      <c r="N41" s="699"/>
      <c r="O41" s="699"/>
    </row>
    <row r="42" spans="1:28" ht="11.25" customHeight="1">
      <c r="A42" s="693" t="s">
        <v>375</v>
      </c>
      <c r="B42" s="699"/>
      <c r="C42" s="699"/>
      <c r="D42" s="699"/>
      <c r="E42" s="699"/>
      <c r="F42" s="699"/>
      <c r="G42" s="699"/>
      <c r="H42" s="699"/>
      <c r="I42" s="699"/>
      <c r="J42" s="699"/>
      <c r="K42" s="699"/>
      <c r="L42" s="699"/>
      <c r="M42" s="699"/>
      <c r="N42" s="699"/>
      <c r="O42" s="699"/>
    </row>
    <row r="43" spans="1:28" ht="11.25" customHeight="1">
      <c r="A43" s="112"/>
      <c r="B43" s="112"/>
      <c r="C43" s="112"/>
      <c r="D43" s="112"/>
      <c r="E43" s="112"/>
      <c r="F43" s="112"/>
      <c r="G43" s="112"/>
      <c r="H43" s="112"/>
      <c r="I43" s="112"/>
      <c r="J43" s="112"/>
      <c r="K43" s="112"/>
      <c r="L43" s="112"/>
      <c r="M43" s="112"/>
      <c r="N43" s="112"/>
      <c r="O43" s="112"/>
      <c r="Q43" s="257"/>
      <c r="R43" s="257"/>
      <c r="S43" s="257"/>
      <c r="T43" s="257"/>
      <c r="U43" s="257"/>
      <c r="V43" s="257"/>
      <c r="W43" s="257"/>
      <c r="X43" s="257"/>
      <c r="Y43" s="257"/>
      <c r="Z43" s="257"/>
      <c r="AA43" s="257"/>
      <c r="AB43" s="257"/>
    </row>
  </sheetData>
  <mergeCells count="16">
    <mergeCell ref="A1:O1"/>
    <mergeCell ref="A3:O3"/>
    <mergeCell ref="A2:O2"/>
    <mergeCell ref="J4:O4"/>
    <mergeCell ref="C4:H4"/>
    <mergeCell ref="E5:G5"/>
    <mergeCell ref="L5:N5"/>
    <mergeCell ref="A34:O34"/>
    <mergeCell ref="A35:O35"/>
    <mergeCell ref="A41:O41"/>
    <mergeCell ref="A42:O42"/>
    <mergeCell ref="A36:O36"/>
    <mergeCell ref="A40:O40"/>
    <mergeCell ref="A38:O38"/>
    <mergeCell ref="A37:O37"/>
    <mergeCell ref="A39:O39"/>
  </mergeCells>
  <pageMargins left="0.5" right="0.5" top="0.75" bottom="0.5" header="0.3" footer="0.3"/>
  <pageSetup orientation="portrait" horizontalDpi="4294967295" verticalDpi="4294967295"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39"/>
  <sheetViews>
    <sheetView zoomScaleNormal="100" workbookViewId="0">
      <selection activeCell="H25" sqref="H25"/>
    </sheetView>
  </sheetViews>
  <sheetFormatPr defaultRowHeight="14"/>
  <cols>
    <col min="1" max="1" width="33.26953125" customWidth="1"/>
    <col min="2" max="2" width="1.7265625" customWidth="1"/>
    <col min="3" max="3" width="8.7265625" customWidth="1"/>
    <col min="4" max="4" width="1.7265625" customWidth="1"/>
    <col min="5" max="5" width="8.7265625" customWidth="1"/>
    <col min="6" max="6" width="2.7265625" customWidth="1"/>
    <col min="7" max="7" width="8.7265625" customWidth="1"/>
    <col min="8" max="8" width="2.7265625" customWidth="1"/>
    <col min="9" max="9" width="1.7265625" customWidth="1"/>
    <col min="10" max="10" width="8.7265625" customWidth="1"/>
    <col min="11" max="11" width="1.7265625" customWidth="1"/>
    <col min="12" max="12" width="8.7265625" customWidth="1"/>
    <col min="13" max="13" width="1.7265625" customWidth="1"/>
    <col min="14" max="14" width="8.7265625" customWidth="1"/>
    <col min="15" max="15" width="1.7265625" customWidth="1"/>
  </cols>
  <sheetData>
    <row r="1" spans="1:16" ht="11.25" customHeight="1">
      <c r="A1" s="761" t="s">
        <v>140</v>
      </c>
      <c r="B1" s="761"/>
      <c r="C1" s="761"/>
      <c r="D1" s="761"/>
      <c r="E1" s="761"/>
      <c r="F1" s="761"/>
      <c r="G1" s="761"/>
      <c r="H1" s="761"/>
      <c r="I1" s="761"/>
      <c r="J1" s="761"/>
      <c r="K1" s="761"/>
      <c r="L1" s="761"/>
      <c r="M1" s="761"/>
      <c r="N1" s="761"/>
      <c r="O1" s="707"/>
    </row>
    <row r="2" spans="1:16" ht="11.25" customHeight="1">
      <c r="A2" s="761" t="s">
        <v>788</v>
      </c>
      <c r="B2" s="761"/>
      <c r="C2" s="761"/>
      <c r="D2" s="761"/>
      <c r="E2" s="761"/>
      <c r="F2" s="761"/>
      <c r="G2" s="761"/>
      <c r="H2" s="761"/>
      <c r="I2" s="761"/>
      <c r="J2" s="761"/>
      <c r="K2" s="761"/>
      <c r="L2" s="761"/>
      <c r="M2" s="761"/>
      <c r="N2" s="761"/>
      <c r="O2" s="707"/>
      <c r="P2" s="652"/>
    </row>
    <row r="3" spans="1:16" ht="11.25" customHeight="1">
      <c r="A3" s="761"/>
      <c r="B3" s="691"/>
      <c r="C3" s="691"/>
      <c r="D3" s="691"/>
      <c r="E3" s="691"/>
      <c r="F3" s="691"/>
      <c r="G3" s="691"/>
      <c r="H3" s="691"/>
      <c r="I3" s="691"/>
      <c r="J3" s="691"/>
      <c r="K3" s="691"/>
      <c r="L3" s="691"/>
      <c r="M3" s="691"/>
      <c r="N3" s="691"/>
      <c r="O3" s="707"/>
    </row>
    <row r="4" spans="1:16" ht="11.25" customHeight="1">
      <c r="A4" s="181"/>
      <c r="B4" s="181"/>
      <c r="C4" s="754" t="s">
        <v>533</v>
      </c>
      <c r="D4" s="765"/>
      <c r="E4" s="765"/>
      <c r="F4" s="765"/>
      <c r="G4" s="765"/>
      <c r="H4" s="375"/>
      <c r="I4" s="181"/>
      <c r="J4" s="754" t="s">
        <v>724</v>
      </c>
      <c r="K4" s="765"/>
      <c r="L4" s="765"/>
      <c r="M4" s="765"/>
      <c r="N4" s="765"/>
      <c r="O4" s="375"/>
    </row>
    <row r="5" spans="1:16" ht="11.25" customHeight="1">
      <c r="A5" s="186"/>
      <c r="B5" s="186"/>
      <c r="C5" s="351"/>
      <c r="D5" s="351"/>
      <c r="E5" s="764" t="s">
        <v>404</v>
      </c>
      <c r="F5" s="765"/>
      <c r="G5" s="765"/>
      <c r="H5" s="375"/>
      <c r="I5" s="186"/>
      <c r="J5" s="351"/>
      <c r="K5" s="351"/>
      <c r="L5" s="764" t="s">
        <v>404</v>
      </c>
      <c r="M5" s="765"/>
      <c r="N5" s="765"/>
      <c r="O5" s="375"/>
    </row>
    <row r="6" spans="1:16" ht="11.25" customHeight="1">
      <c r="A6" s="186"/>
      <c r="B6" s="186"/>
      <c r="C6" s="183" t="s">
        <v>141</v>
      </c>
      <c r="D6" s="183"/>
      <c r="E6" s="183"/>
      <c r="F6" s="183"/>
      <c r="G6" s="651" t="s">
        <v>790</v>
      </c>
      <c r="I6" s="186"/>
      <c r="J6" s="183" t="s">
        <v>141</v>
      </c>
      <c r="K6" s="183"/>
      <c r="L6" s="183"/>
      <c r="M6" s="183"/>
      <c r="N6" s="651" t="s">
        <v>790</v>
      </c>
    </row>
    <row r="7" spans="1:16" ht="11.25" customHeight="1">
      <c r="A7" s="186"/>
      <c r="B7" s="186"/>
      <c r="C7" s="183" t="s">
        <v>46</v>
      </c>
      <c r="D7" s="183"/>
      <c r="E7" s="183" t="s">
        <v>52</v>
      </c>
      <c r="F7" s="134"/>
      <c r="G7" s="183" t="s">
        <v>142</v>
      </c>
      <c r="I7" s="186"/>
      <c r="J7" s="183" t="s">
        <v>46</v>
      </c>
      <c r="K7" s="183"/>
      <c r="L7" s="183" t="s">
        <v>52</v>
      </c>
      <c r="M7" s="134"/>
      <c r="N7" s="183" t="s">
        <v>142</v>
      </c>
    </row>
    <row r="8" spans="1:16" ht="11.25" customHeight="1">
      <c r="A8" s="127" t="s">
        <v>413</v>
      </c>
      <c r="B8" s="127"/>
      <c r="C8" s="352" t="s">
        <v>53</v>
      </c>
      <c r="D8" s="352"/>
      <c r="E8" s="352" t="s">
        <v>137</v>
      </c>
      <c r="F8" s="295"/>
      <c r="G8" s="352" t="s">
        <v>138</v>
      </c>
      <c r="H8" s="376"/>
      <c r="I8" s="127"/>
      <c r="J8" s="352" t="s">
        <v>53</v>
      </c>
      <c r="K8" s="352"/>
      <c r="L8" s="352" t="s">
        <v>137</v>
      </c>
      <c r="M8" s="295"/>
      <c r="N8" s="352" t="s">
        <v>138</v>
      </c>
      <c r="O8" s="376"/>
    </row>
    <row r="9" spans="1:16" ht="11.25" customHeight="1">
      <c r="A9" s="128" t="s">
        <v>7</v>
      </c>
      <c r="B9" s="15"/>
      <c r="C9" s="5">
        <v>22</v>
      </c>
      <c r="D9" s="4"/>
      <c r="E9" s="341">
        <v>3273</v>
      </c>
      <c r="F9" s="343"/>
      <c r="G9" s="342">
        <v>148.77000000000001</v>
      </c>
      <c r="I9" s="483"/>
      <c r="J9" s="5">
        <v>16</v>
      </c>
      <c r="K9" s="4"/>
      <c r="L9" s="341">
        <v>3042</v>
      </c>
      <c r="M9" s="343"/>
      <c r="N9" s="342">
        <v>189.64</v>
      </c>
    </row>
    <row r="10" spans="1:16" ht="11.25" customHeight="1">
      <c r="A10" s="178" t="s">
        <v>799</v>
      </c>
      <c r="B10" s="15"/>
      <c r="C10" s="5">
        <v>171</v>
      </c>
      <c r="D10" s="405"/>
      <c r="E10" s="5">
        <v>28100</v>
      </c>
      <c r="F10" s="405"/>
      <c r="G10" s="344">
        <v>164.5</v>
      </c>
      <c r="H10" s="405"/>
      <c r="I10" s="483"/>
      <c r="J10" s="5">
        <v>144</v>
      </c>
      <c r="K10" s="405"/>
      <c r="L10" s="5">
        <v>26200</v>
      </c>
      <c r="M10" s="405"/>
      <c r="N10" s="344">
        <v>181.5</v>
      </c>
      <c r="O10" s="405"/>
    </row>
    <row r="11" spans="1:16" ht="11.25" customHeight="1">
      <c r="A11" s="128" t="s">
        <v>143</v>
      </c>
      <c r="B11" s="15"/>
      <c r="C11" s="5">
        <v>184</v>
      </c>
      <c r="D11" s="405" t="s">
        <v>405</v>
      </c>
      <c r="E11" s="5">
        <v>37600</v>
      </c>
      <c r="F11" s="405" t="s">
        <v>405</v>
      </c>
      <c r="G11" s="344">
        <v>204.5</v>
      </c>
      <c r="H11" s="405" t="s">
        <v>405</v>
      </c>
      <c r="I11" s="483"/>
      <c r="J11" s="5">
        <v>158</v>
      </c>
      <c r="K11" s="405"/>
      <c r="L11" s="5">
        <v>38922</v>
      </c>
      <c r="M11" s="405"/>
      <c r="N11" s="344">
        <v>247.12</v>
      </c>
      <c r="O11" s="405"/>
    </row>
    <row r="12" spans="1:16" ht="11.25" customHeight="1">
      <c r="A12" s="128" t="s">
        <v>35</v>
      </c>
      <c r="B12" s="15"/>
      <c r="C12" s="5">
        <v>72</v>
      </c>
      <c r="D12" s="150"/>
      <c r="E12" s="5">
        <v>13915</v>
      </c>
      <c r="F12" s="150"/>
      <c r="G12" s="344">
        <v>193.26</v>
      </c>
      <c r="I12" s="483"/>
      <c r="J12" s="5">
        <v>62</v>
      </c>
      <c r="K12" s="150"/>
      <c r="L12" s="5">
        <v>11500</v>
      </c>
      <c r="M12" s="405" t="s">
        <v>405</v>
      </c>
      <c r="N12" s="344">
        <v>186</v>
      </c>
      <c r="O12" s="405" t="s">
        <v>405</v>
      </c>
    </row>
    <row r="13" spans="1:16" ht="11.25" customHeight="1">
      <c r="A13" s="128" t="s">
        <v>13</v>
      </c>
      <c r="B13" s="15"/>
      <c r="C13" s="267" t="s">
        <v>36</v>
      </c>
      <c r="D13" s="353"/>
      <c r="E13" s="267" t="s">
        <v>36</v>
      </c>
      <c r="F13" s="354"/>
      <c r="G13" s="267" t="s">
        <v>36</v>
      </c>
      <c r="I13" s="483"/>
      <c r="J13" s="267" t="s">
        <v>36</v>
      </c>
      <c r="K13" s="353"/>
      <c r="L13" s="267" t="s">
        <v>36</v>
      </c>
      <c r="M13" s="354"/>
      <c r="N13" s="267" t="s">
        <v>36</v>
      </c>
    </row>
    <row r="14" spans="1:16" ht="11.25" customHeight="1">
      <c r="A14" s="128" t="s">
        <v>144</v>
      </c>
      <c r="B14" s="15"/>
      <c r="C14" s="5">
        <v>27</v>
      </c>
      <c r="D14" s="4"/>
      <c r="E14" s="5">
        <v>6068</v>
      </c>
      <c r="F14" s="150"/>
      <c r="G14" s="344">
        <v>224.74</v>
      </c>
      <c r="I14" s="483"/>
      <c r="J14" s="5">
        <v>31</v>
      </c>
      <c r="K14" s="4"/>
      <c r="L14" s="5">
        <v>8000</v>
      </c>
      <c r="M14" s="405" t="s">
        <v>405</v>
      </c>
      <c r="N14" s="344">
        <v>253</v>
      </c>
      <c r="O14" s="405" t="s">
        <v>405</v>
      </c>
    </row>
    <row r="15" spans="1:16" ht="11.25" customHeight="1">
      <c r="A15" s="128" t="s">
        <v>16</v>
      </c>
      <c r="B15" s="15"/>
      <c r="C15" s="5">
        <v>584</v>
      </c>
      <c r="D15" s="405"/>
      <c r="E15" s="5">
        <v>90800</v>
      </c>
      <c r="F15" s="405" t="s">
        <v>818</v>
      </c>
      <c r="G15" s="344">
        <v>155.5</v>
      </c>
      <c r="H15" s="405" t="s">
        <v>818</v>
      </c>
      <c r="I15" s="483"/>
      <c r="J15" s="5">
        <v>505</v>
      </c>
      <c r="K15" s="405"/>
      <c r="L15" s="5">
        <v>82100</v>
      </c>
      <c r="M15" s="405" t="s">
        <v>405</v>
      </c>
      <c r="N15" s="344">
        <v>162.5</v>
      </c>
      <c r="O15" s="405" t="s">
        <v>405</v>
      </c>
    </row>
    <row r="16" spans="1:16" ht="11.25" customHeight="1">
      <c r="A16" s="128" t="s">
        <v>17</v>
      </c>
      <c r="B16" s="15"/>
      <c r="C16" s="5">
        <v>266</v>
      </c>
      <c r="D16" s="405"/>
      <c r="E16" s="5">
        <v>56416</v>
      </c>
      <c r="F16" s="405"/>
      <c r="G16" s="344">
        <v>212.09</v>
      </c>
      <c r="H16" s="405"/>
      <c r="I16" s="483"/>
      <c r="J16" s="5">
        <v>258</v>
      </c>
      <c r="K16" s="405" t="s">
        <v>405</v>
      </c>
      <c r="L16" s="5">
        <v>61700</v>
      </c>
      <c r="M16" s="405" t="s">
        <v>405</v>
      </c>
      <c r="N16" s="344">
        <v>239</v>
      </c>
      <c r="O16" s="405" t="s">
        <v>405</v>
      </c>
    </row>
    <row r="17" spans="1:15" ht="11.25" customHeight="1">
      <c r="A17" s="128" t="s">
        <v>18</v>
      </c>
      <c r="B17" s="15"/>
      <c r="C17" s="5">
        <v>260</v>
      </c>
      <c r="D17" s="405"/>
      <c r="E17" s="5">
        <v>55000</v>
      </c>
      <c r="F17" s="405" t="s">
        <v>818</v>
      </c>
      <c r="G17" s="344">
        <v>211.5</v>
      </c>
      <c r="H17" s="405" t="s">
        <v>818</v>
      </c>
      <c r="I17" s="483"/>
      <c r="J17" s="5">
        <v>212</v>
      </c>
      <c r="K17" s="405"/>
      <c r="L17" s="5">
        <v>38600</v>
      </c>
      <c r="M17" s="405" t="s">
        <v>405</v>
      </c>
      <c r="N17" s="344">
        <v>182.5</v>
      </c>
      <c r="O17" s="405" t="s">
        <v>405</v>
      </c>
    </row>
    <row r="18" spans="1:15" ht="11.25" customHeight="1">
      <c r="A18" s="128" t="s">
        <v>759</v>
      </c>
      <c r="B18" s="15"/>
      <c r="C18" s="5">
        <v>250</v>
      </c>
      <c r="D18" s="405"/>
      <c r="E18" s="5">
        <v>48000</v>
      </c>
      <c r="F18" s="405" t="s">
        <v>818</v>
      </c>
      <c r="G18" s="344">
        <v>192</v>
      </c>
      <c r="H18" s="405" t="s">
        <v>818</v>
      </c>
      <c r="I18" s="483"/>
      <c r="J18" s="5">
        <v>262</v>
      </c>
      <c r="K18" s="405"/>
      <c r="L18" s="5">
        <v>56300</v>
      </c>
      <c r="M18" s="405" t="s">
        <v>405</v>
      </c>
      <c r="N18" s="344">
        <v>215</v>
      </c>
      <c r="O18" s="405" t="s">
        <v>405</v>
      </c>
    </row>
    <row r="19" spans="1:15" ht="11.25" customHeight="1">
      <c r="A19" s="128" t="s">
        <v>19</v>
      </c>
      <c r="B19" s="15"/>
      <c r="C19" s="5">
        <v>102</v>
      </c>
      <c r="D19" s="405"/>
      <c r="E19" s="5">
        <v>15068</v>
      </c>
      <c r="F19" s="405"/>
      <c r="G19" s="344">
        <v>147.72999999999999</v>
      </c>
      <c r="H19" s="405"/>
      <c r="I19" s="483"/>
      <c r="J19" s="5">
        <v>113</v>
      </c>
      <c r="K19" s="405"/>
      <c r="L19" s="5">
        <v>19386</v>
      </c>
      <c r="M19" s="405"/>
      <c r="N19" s="344">
        <v>170.94</v>
      </c>
      <c r="O19" s="405"/>
    </row>
    <row r="20" spans="1:15" ht="11.25" customHeight="1">
      <c r="A20" s="128" t="s">
        <v>800</v>
      </c>
      <c r="B20" s="15"/>
      <c r="C20" s="5">
        <v>275</v>
      </c>
      <c r="D20" s="405"/>
      <c r="E20" s="5">
        <v>53200</v>
      </c>
      <c r="F20" s="405"/>
      <c r="G20" s="344">
        <v>193.5</v>
      </c>
      <c r="H20" s="405"/>
      <c r="I20" s="483"/>
      <c r="J20" s="5">
        <v>227</v>
      </c>
      <c r="K20" s="405"/>
      <c r="L20" s="5">
        <v>46100</v>
      </c>
      <c r="M20" s="405"/>
      <c r="N20" s="344">
        <v>203</v>
      </c>
      <c r="O20" s="405"/>
    </row>
    <row r="21" spans="1:15" ht="11.25" customHeight="1">
      <c r="A21" s="244" t="s">
        <v>370</v>
      </c>
      <c r="B21" s="15"/>
      <c r="C21" s="5">
        <v>57</v>
      </c>
      <c r="D21" s="4"/>
      <c r="E21" s="5">
        <v>8653</v>
      </c>
      <c r="F21" s="150"/>
      <c r="G21" s="344">
        <v>151.81</v>
      </c>
      <c r="I21" s="483"/>
      <c r="J21" s="5">
        <v>58</v>
      </c>
      <c r="K21" s="4"/>
      <c r="L21" s="5">
        <v>9700</v>
      </c>
      <c r="M21" s="405" t="s">
        <v>405</v>
      </c>
      <c r="N21" s="344">
        <v>166.5</v>
      </c>
      <c r="O21" s="405" t="s">
        <v>405</v>
      </c>
    </row>
    <row r="22" spans="1:15" ht="11.25" customHeight="1">
      <c r="A22" s="129" t="s">
        <v>371</v>
      </c>
      <c r="B22" s="15"/>
      <c r="C22" s="267" t="s">
        <v>36</v>
      </c>
      <c r="D22" s="355"/>
      <c r="E22" s="267" t="s">
        <v>36</v>
      </c>
      <c r="F22" s="354"/>
      <c r="G22" s="267" t="s">
        <v>36</v>
      </c>
      <c r="I22" s="484"/>
      <c r="J22" s="267" t="s">
        <v>36</v>
      </c>
      <c r="K22" s="355"/>
      <c r="L22" s="267" t="s">
        <v>36</v>
      </c>
      <c r="M22" s="354"/>
      <c r="N22" s="267" t="s">
        <v>36</v>
      </c>
    </row>
    <row r="23" spans="1:15" ht="11.25" customHeight="1">
      <c r="A23" s="128" t="s">
        <v>24</v>
      </c>
      <c r="B23" s="15"/>
      <c r="C23" s="5">
        <v>1</v>
      </c>
      <c r="D23" s="4"/>
      <c r="E23" s="5">
        <v>611</v>
      </c>
      <c r="F23" s="405"/>
      <c r="G23" s="344">
        <v>424.5</v>
      </c>
      <c r="H23" s="405" t="s">
        <v>542</v>
      </c>
      <c r="I23" s="483"/>
      <c r="J23" s="5">
        <v>2</v>
      </c>
      <c r="K23" s="4"/>
      <c r="L23" s="5">
        <v>794</v>
      </c>
      <c r="M23" s="405" t="s">
        <v>405</v>
      </c>
      <c r="N23" s="344">
        <v>424.5</v>
      </c>
      <c r="O23" s="405" t="s">
        <v>405</v>
      </c>
    </row>
    <row r="24" spans="1:15" ht="11.25" customHeight="1">
      <c r="A24" s="128" t="s">
        <v>795</v>
      </c>
      <c r="B24" s="15"/>
      <c r="C24" s="5">
        <v>153</v>
      </c>
      <c r="D24" s="405"/>
      <c r="E24" s="5">
        <v>21300</v>
      </c>
      <c r="F24" s="405"/>
      <c r="G24" s="344">
        <v>139</v>
      </c>
      <c r="H24" s="405"/>
      <c r="I24" s="483"/>
      <c r="J24" s="5">
        <v>142</v>
      </c>
      <c r="K24" s="405"/>
      <c r="L24" s="5">
        <v>20000</v>
      </c>
      <c r="M24" s="405"/>
      <c r="N24" s="344">
        <v>141.5</v>
      </c>
      <c r="O24" s="405"/>
    </row>
    <row r="25" spans="1:15" ht="11.25" customHeight="1">
      <c r="A25" s="128" t="s">
        <v>796</v>
      </c>
      <c r="B25" s="15"/>
      <c r="C25" s="453">
        <v>16</v>
      </c>
      <c r="D25" s="458"/>
      <c r="E25" s="453">
        <v>3440</v>
      </c>
      <c r="F25" s="377"/>
      <c r="G25" s="344">
        <v>211</v>
      </c>
      <c r="H25" s="405" t="s">
        <v>542</v>
      </c>
      <c r="I25" s="485"/>
      <c r="J25" s="453">
        <v>99</v>
      </c>
      <c r="K25" s="458"/>
      <c r="L25" s="453">
        <v>22100</v>
      </c>
      <c r="M25" s="377"/>
      <c r="N25" s="344">
        <v>223</v>
      </c>
      <c r="O25" s="405"/>
    </row>
    <row r="26" spans="1:15" ht="11.25" customHeight="1">
      <c r="A26" s="126" t="s">
        <v>797</v>
      </c>
      <c r="B26" s="15"/>
      <c r="C26" s="5">
        <v>2440</v>
      </c>
      <c r="D26" s="405"/>
      <c r="E26" s="5">
        <v>442000</v>
      </c>
      <c r="F26" s="405"/>
      <c r="G26" s="477">
        <v>181</v>
      </c>
      <c r="H26" s="569"/>
      <c r="I26" s="483"/>
      <c r="J26" s="5">
        <v>2290</v>
      </c>
      <c r="K26" s="405"/>
      <c r="L26" s="5">
        <v>445000</v>
      </c>
      <c r="M26" s="405"/>
      <c r="N26" s="477">
        <v>194</v>
      </c>
      <c r="O26" s="569"/>
    </row>
    <row r="27" spans="1:15" ht="11.25" customHeight="1">
      <c r="A27" s="128" t="s">
        <v>28</v>
      </c>
      <c r="B27" s="15"/>
      <c r="C27" s="356" t="s">
        <v>25</v>
      </c>
      <c r="D27" s="357"/>
      <c r="E27" s="356" t="s">
        <v>25</v>
      </c>
      <c r="F27" s="346"/>
      <c r="G27" s="356" t="s">
        <v>25</v>
      </c>
      <c r="H27" s="346"/>
      <c r="I27" s="486"/>
      <c r="J27" s="356" t="s">
        <v>25</v>
      </c>
      <c r="K27" s="357"/>
      <c r="L27" s="356" t="s">
        <v>25</v>
      </c>
      <c r="M27" s="346"/>
      <c r="N27" s="356" t="s">
        <v>25</v>
      </c>
      <c r="O27" s="346"/>
    </row>
    <row r="28" spans="1:15" ht="11.25" customHeight="1">
      <c r="A28" s="126" t="s">
        <v>798</v>
      </c>
      <c r="B28" s="54"/>
      <c r="C28" s="453">
        <v>2440</v>
      </c>
      <c r="D28" s="363"/>
      <c r="E28" s="453">
        <v>442000</v>
      </c>
      <c r="F28" s="363"/>
      <c r="G28" s="487">
        <v>181</v>
      </c>
      <c r="H28" s="405"/>
      <c r="I28" s="485"/>
      <c r="J28" s="453">
        <v>2290</v>
      </c>
      <c r="K28" s="363"/>
      <c r="L28" s="453">
        <v>444000</v>
      </c>
      <c r="M28" s="363"/>
      <c r="N28" s="487">
        <v>194</v>
      </c>
      <c r="O28" s="405"/>
    </row>
    <row r="29" spans="1:15" ht="11.25" customHeight="1">
      <c r="A29" s="762" t="s">
        <v>834</v>
      </c>
      <c r="B29" s="763"/>
      <c r="C29" s="763"/>
      <c r="D29" s="763"/>
      <c r="E29" s="763"/>
      <c r="F29" s="763"/>
      <c r="G29" s="763"/>
      <c r="H29" s="763"/>
      <c r="I29" s="763"/>
      <c r="J29" s="763"/>
      <c r="K29" s="763"/>
      <c r="L29" s="763"/>
      <c r="M29" s="763"/>
      <c r="N29" s="763"/>
      <c r="O29" s="763"/>
    </row>
    <row r="30" spans="1:15" s="120" customFormat="1" ht="33.75" customHeight="1">
      <c r="A30" s="695" t="s">
        <v>828</v>
      </c>
      <c r="B30" s="700"/>
      <c r="C30" s="700"/>
      <c r="D30" s="700"/>
      <c r="E30" s="700"/>
      <c r="F30" s="700"/>
      <c r="G30" s="700"/>
      <c r="H30" s="700"/>
      <c r="I30" s="700"/>
      <c r="J30" s="700"/>
      <c r="K30" s="700"/>
      <c r="L30" s="700"/>
      <c r="M30" s="700"/>
      <c r="N30" s="700"/>
      <c r="O30" s="700"/>
    </row>
    <row r="31" spans="1:15" ht="11.25" customHeight="1">
      <c r="A31" s="692" t="s">
        <v>145</v>
      </c>
      <c r="B31" s="699"/>
      <c r="C31" s="699"/>
      <c r="D31" s="699"/>
      <c r="E31" s="699"/>
      <c r="F31" s="699"/>
      <c r="G31" s="699"/>
      <c r="H31" s="699"/>
      <c r="I31" s="699"/>
      <c r="J31" s="699"/>
      <c r="K31" s="699"/>
      <c r="L31" s="699"/>
      <c r="M31" s="699"/>
      <c r="N31" s="699"/>
      <c r="O31" s="699"/>
    </row>
    <row r="32" spans="1:15" s="124" customFormat="1" ht="22.5" customHeight="1">
      <c r="A32" s="695" t="s">
        <v>414</v>
      </c>
      <c r="B32" s="700"/>
      <c r="C32" s="700"/>
      <c r="D32" s="700"/>
      <c r="E32" s="700"/>
      <c r="F32" s="700"/>
      <c r="G32" s="700"/>
      <c r="H32" s="700"/>
      <c r="I32" s="700"/>
      <c r="J32" s="700"/>
      <c r="K32" s="700"/>
      <c r="L32" s="700"/>
      <c r="M32" s="700"/>
      <c r="N32" s="700"/>
      <c r="O32" s="700"/>
    </row>
    <row r="33" spans="1:15" s="124" customFormat="1" ht="22.5" customHeight="1">
      <c r="A33" s="695" t="s">
        <v>397</v>
      </c>
      <c r="B33" s="700"/>
      <c r="C33" s="700"/>
      <c r="D33" s="700"/>
      <c r="E33" s="700"/>
      <c r="F33" s="700"/>
      <c r="G33" s="700"/>
      <c r="H33" s="700"/>
      <c r="I33" s="700"/>
      <c r="J33" s="700"/>
      <c r="K33" s="700"/>
      <c r="L33" s="700"/>
      <c r="M33" s="700"/>
      <c r="N33" s="700"/>
      <c r="O33" s="700"/>
    </row>
    <row r="34" spans="1:15" s="120" customFormat="1" ht="33.75" customHeight="1">
      <c r="A34" s="695" t="s">
        <v>484</v>
      </c>
      <c r="B34" s="700"/>
      <c r="C34" s="700"/>
      <c r="D34" s="700"/>
      <c r="E34" s="700"/>
      <c r="F34" s="700"/>
      <c r="G34" s="700"/>
      <c r="H34" s="700"/>
      <c r="I34" s="700"/>
      <c r="J34" s="700"/>
      <c r="K34" s="700"/>
      <c r="L34" s="700"/>
      <c r="M34" s="700"/>
      <c r="N34" s="700"/>
      <c r="O34" s="700"/>
    </row>
    <row r="35" spans="1:15" s="120" customFormat="1" ht="11.25" customHeight="1">
      <c r="A35" s="692" t="s">
        <v>789</v>
      </c>
      <c r="B35" s="699"/>
      <c r="C35" s="699"/>
      <c r="D35" s="699"/>
      <c r="E35" s="699"/>
      <c r="F35" s="699"/>
      <c r="G35" s="699"/>
      <c r="H35" s="699"/>
      <c r="I35" s="699"/>
      <c r="J35" s="699"/>
      <c r="K35" s="699"/>
      <c r="L35" s="699"/>
      <c r="M35" s="699"/>
      <c r="N35" s="699"/>
      <c r="O35" s="699"/>
    </row>
    <row r="36" spans="1:15" ht="11.25" customHeight="1">
      <c r="A36" s="692" t="s">
        <v>791</v>
      </c>
      <c r="B36" s="699"/>
      <c r="C36" s="699"/>
      <c r="D36" s="699"/>
      <c r="E36" s="699"/>
      <c r="F36" s="699"/>
      <c r="G36" s="699"/>
      <c r="H36" s="699"/>
      <c r="I36" s="699"/>
      <c r="J36" s="699"/>
      <c r="K36" s="699"/>
      <c r="L36" s="699"/>
      <c r="M36" s="699"/>
      <c r="N36" s="699"/>
      <c r="O36" s="699"/>
    </row>
    <row r="37" spans="1:15" ht="11.25" customHeight="1">
      <c r="A37" s="693" t="s">
        <v>792</v>
      </c>
      <c r="B37" s="699"/>
      <c r="C37" s="699"/>
      <c r="D37" s="699"/>
      <c r="E37" s="699"/>
      <c r="F37" s="699"/>
      <c r="G37" s="699"/>
      <c r="H37" s="699"/>
      <c r="I37" s="699"/>
      <c r="J37" s="699"/>
      <c r="K37" s="699"/>
      <c r="L37" s="699"/>
      <c r="M37" s="699"/>
      <c r="N37" s="699"/>
      <c r="O37" s="699"/>
    </row>
    <row r="38" spans="1:15" ht="11.25" customHeight="1">
      <c r="A38" s="693" t="s">
        <v>793</v>
      </c>
      <c r="B38" s="699"/>
      <c r="C38" s="699"/>
      <c r="D38" s="699"/>
      <c r="E38" s="699"/>
      <c r="F38" s="699"/>
      <c r="G38" s="699"/>
      <c r="H38" s="699"/>
      <c r="I38" s="699"/>
      <c r="J38" s="699"/>
      <c r="K38" s="699"/>
      <c r="L38" s="699"/>
      <c r="M38" s="699"/>
      <c r="N38" s="699"/>
      <c r="O38" s="699"/>
    </row>
    <row r="39" spans="1:15" ht="11.25" customHeight="1">
      <c r="C39" s="406"/>
      <c r="D39" s="406"/>
      <c r="E39" s="406"/>
      <c r="F39" s="406"/>
      <c r="G39" s="406"/>
      <c r="H39" s="406"/>
      <c r="I39" s="406"/>
      <c r="J39" s="406"/>
      <c r="K39" s="406"/>
      <c r="L39" s="5"/>
      <c r="M39" s="406"/>
      <c r="N39" s="406"/>
    </row>
  </sheetData>
  <mergeCells count="17">
    <mergeCell ref="A37:O37"/>
    <mergeCell ref="A38:O38"/>
    <mergeCell ref="E5:G5"/>
    <mergeCell ref="C4:G4"/>
    <mergeCell ref="J4:N4"/>
    <mergeCell ref="L5:N5"/>
    <mergeCell ref="A31:O31"/>
    <mergeCell ref="A32:O32"/>
    <mergeCell ref="A33:O33"/>
    <mergeCell ref="A34:O34"/>
    <mergeCell ref="A36:O36"/>
    <mergeCell ref="A35:O35"/>
    <mergeCell ref="A1:O1"/>
    <mergeCell ref="A2:O2"/>
    <mergeCell ref="A3:O3"/>
    <mergeCell ref="A29:O29"/>
    <mergeCell ref="A30:O30"/>
  </mergeCells>
  <pageMargins left="0.5" right="0.5" top="0.75" bottom="0.5" header="0.3" footer="0.3"/>
  <pageSetup scale="9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4"/>
  <sheetViews>
    <sheetView workbookViewId="0">
      <selection sqref="A1:K1"/>
    </sheetView>
  </sheetViews>
  <sheetFormatPr defaultRowHeight="14"/>
  <cols>
    <col min="1" max="1" width="13.7265625" customWidth="1"/>
    <col min="2" max="2" width="1.7265625" customWidth="1"/>
    <col min="3" max="3" width="8.26953125" customWidth="1"/>
    <col min="4" max="4" width="1.7265625" customWidth="1"/>
    <col min="5" max="5" width="8.26953125" customWidth="1"/>
    <col min="6" max="6" width="1.7265625" customWidth="1"/>
    <col min="7" max="7" width="8.26953125" customWidth="1"/>
    <col min="8" max="8" width="1.7265625" customWidth="1"/>
    <col min="9" max="9" width="8.26953125" customWidth="1"/>
    <col min="10" max="10" width="1.7265625" customWidth="1"/>
    <col min="11" max="11" width="8.26953125" customWidth="1"/>
  </cols>
  <sheetData>
    <row r="1" spans="1:11" ht="11.25" customHeight="1">
      <c r="A1" s="768" t="s">
        <v>146</v>
      </c>
      <c r="B1" s="768"/>
      <c r="C1" s="768"/>
      <c r="D1" s="768"/>
      <c r="E1" s="768"/>
      <c r="F1" s="768"/>
      <c r="G1" s="768"/>
      <c r="H1" s="768"/>
      <c r="I1" s="768"/>
      <c r="J1" s="768"/>
      <c r="K1" s="768"/>
    </row>
    <row r="2" spans="1:11" ht="11.25" customHeight="1">
      <c r="A2" s="768" t="s">
        <v>525</v>
      </c>
      <c r="B2" s="768"/>
      <c r="C2" s="768"/>
      <c r="D2" s="768"/>
      <c r="E2" s="768"/>
      <c r="F2" s="768"/>
      <c r="G2" s="768"/>
      <c r="H2" s="768"/>
      <c r="I2" s="768"/>
      <c r="J2" s="768"/>
      <c r="K2" s="768"/>
    </row>
    <row r="3" spans="1:11" ht="11.25" customHeight="1">
      <c r="A3" s="768" t="s">
        <v>524</v>
      </c>
      <c r="B3" s="768"/>
      <c r="C3" s="768"/>
      <c r="D3" s="768"/>
      <c r="E3" s="768"/>
      <c r="F3" s="768"/>
      <c r="G3" s="768"/>
      <c r="H3" s="768"/>
      <c r="I3" s="768"/>
      <c r="J3" s="768"/>
      <c r="K3" s="768"/>
    </row>
    <row r="4" spans="1:11" ht="11.25" customHeight="1">
      <c r="A4" s="769"/>
      <c r="B4" s="769"/>
      <c r="C4" s="769"/>
      <c r="D4" s="769"/>
      <c r="E4" s="769"/>
      <c r="F4" s="769"/>
      <c r="G4" s="769"/>
      <c r="H4" s="769"/>
      <c r="I4" s="769"/>
      <c r="J4" s="769"/>
      <c r="K4" s="769"/>
    </row>
    <row r="5" spans="1:11" ht="11.25" customHeight="1">
      <c r="A5" s="768" t="s">
        <v>147</v>
      </c>
      <c r="B5" s="768"/>
      <c r="C5" s="768"/>
      <c r="D5" s="768"/>
      <c r="E5" s="768"/>
      <c r="F5" s="768"/>
      <c r="G5" s="768"/>
      <c r="H5" s="768"/>
      <c r="I5" s="768"/>
      <c r="J5" s="768"/>
      <c r="K5" s="768"/>
    </row>
    <row r="6" spans="1:11" ht="11.25" customHeight="1">
      <c r="A6" s="768"/>
      <c r="B6" s="768"/>
      <c r="C6" s="768"/>
      <c r="D6" s="768"/>
      <c r="E6" s="768"/>
      <c r="F6" s="768"/>
      <c r="G6" s="768"/>
      <c r="H6" s="768"/>
      <c r="I6" s="768"/>
      <c r="J6" s="768"/>
      <c r="K6" s="768"/>
    </row>
    <row r="7" spans="1:11" ht="11.25" customHeight="1">
      <c r="A7" s="394"/>
      <c r="B7" s="394"/>
      <c r="C7" s="767" t="s">
        <v>523</v>
      </c>
      <c r="D7" s="767"/>
      <c r="E7" s="767"/>
      <c r="F7" s="767"/>
      <c r="G7" s="767"/>
      <c r="H7" s="394"/>
      <c r="I7" s="394" t="s">
        <v>148</v>
      </c>
      <c r="J7" s="394"/>
      <c r="K7" s="394" t="s">
        <v>149</v>
      </c>
    </row>
    <row r="8" spans="1:11" ht="11.25" customHeight="1">
      <c r="A8" s="187" t="s">
        <v>150</v>
      </c>
      <c r="B8" s="187"/>
      <c r="C8" s="233" t="s">
        <v>151</v>
      </c>
      <c r="D8" s="187"/>
      <c r="E8" s="233" t="s">
        <v>152</v>
      </c>
      <c r="F8" s="187"/>
      <c r="G8" s="187" t="s">
        <v>149</v>
      </c>
      <c r="H8" s="187"/>
      <c r="I8" s="187" t="s">
        <v>153</v>
      </c>
      <c r="J8" s="187"/>
      <c r="K8" s="187" t="s">
        <v>153</v>
      </c>
    </row>
    <row r="9" spans="1:11" ht="11.25" customHeight="1">
      <c r="A9" s="358" t="s">
        <v>533</v>
      </c>
      <c r="B9" s="359"/>
      <c r="C9" s="488">
        <v>137</v>
      </c>
      <c r="D9" s="489"/>
      <c r="E9" s="488">
        <v>241</v>
      </c>
      <c r="F9" s="490"/>
      <c r="G9" s="488">
        <v>138</v>
      </c>
      <c r="H9" s="490"/>
      <c r="I9" s="488">
        <v>181</v>
      </c>
      <c r="J9" s="490"/>
      <c r="K9" s="488">
        <v>139</v>
      </c>
    </row>
    <row r="10" spans="1:11" ht="11.25" customHeight="1">
      <c r="A10" s="358" t="s">
        <v>724</v>
      </c>
      <c r="B10" s="359"/>
      <c r="C10" s="488">
        <v>150</v>
      </c>
      <c r="D10" s="489"/>
      <c r="E10" s="488">
        <v>244.5</v>
      </c>
      <c r="F10" s="490"/>
      <c r="G10" s="488">
        <v>151</v>
      </c>
      <c r="H10" s="490"/>
      <c r="I10" s="488">
        <v>194</v>
      </c>
      <c r="J10" s="490"/>
      <c r="K10" s="488">
        <v>152</v>
      </c>
    </row>
    <row r="11" spans="1:11" s="124" customFormat="1" ht="33.75" customHeight="1">
      <c r="A11" s="770" t="s">
        <v>829</v>
      </c>
      <c r="B11" s="771"/>
      <c r="C11" s="771"/>
      <c r="D11" s="771"/>
      <c r="E11" s="771"/>
      <c r="F11" s="771"/>
      <c r="G11" s="771"/>
      <c r="H11" s="771"/>
      <c r="I11" s="771"/>
      <c r="J11" s="771"/>
      <c r="K11" s="771"/>
    </row>
    <row r="12" spans="1:11" ht="11.25" customHeight="1">
      <c r="A12" s="766" t="s">
        <v>154</v>
      </c>
      <c r="B12" s="766"/>
      <c r="C12" s="766"/>
      <c r="D12" s="766"/>
      <c r="E12" s="766"/>
      <c r="F12" s="766"/>
      <c r="G12" s="766"/>
      <c r="H12" s="766"/>
      <c r="I12" s="766"/>
      <c r="J12" s="766"/>
      <c r="K12" s="766"/>
    </row>
    <row r="13" spans="1:11" ht="11.25" customHeight="1">
      <c r="A13" s="766" t="s">
        <v>155</v>
      </c>
      <c r="B13" s="766"/>
      <c r="C13" s="766"/>
      <c r="D13" s="766"/>
      <c r="E13" s="766"/>
      <c r="F13" s="766"/>
      <c r="G13" s="766"/>
      <c r="H13" s="766"/>
      <c r="I13" s="766"/>
      <c r="J13" s="766"/>
      <c r="K13" s="766"/>
    </row>
    <row r="14" spans="1:11" ht="11.25" customHeight="1"/>
  </sheetData>
  <mergeCells count="10">
    <mergeCell ref="A13:K13"/>
    <mergeCell ref="C7:G7"/>
    <mergeCell ref="A1:K1"/>
    <mergeCell ref="A2:K2"/>
    <mergeCell ref="A4:K4"/>
    <mergeCell ref="A5:K5"/>
    <mergeCell ref="A6:K6"/>
    <mergeCell ref="A11:K11"/>
    <mergeCell ref="A12:K12"/>
    <mergeCell ref="A3:K3"/>
  </mergeCells>
  <pageMargins left="0.5" right="0.5" top="0.75" bottom="0.5" header="0.3" footer="0.3"/>
  <pageSetup orientation="portrait" horizontalDpi="4294967295" verticalDpi="4294967295"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72"/>
  <sheetViews>
    <sheetView zoomScaleNormal="100" workbookViewId="0">
      <selection sqref="A1:P1"/>
    </sheetView>
  </sheetViews>
  <sheetFormatPr defaultRowHeight="14"/>
  <cols>
    <col min="1" max="1" width="26.7265625" customWidth="1"/>
    <col min="2" max="2" width="1.7265625" customWidth="1"/>
    <col min="3" max="3" width="7.7265625" customWidth="1"/>
    <col min="4" max="4" width="1.7265625" customWidth="1"/>
    <col min="5" max="5" width="7.7265625" customWidth="1"/>
    <col min="6" max="6" width="1.7265625" customWidth="1"/>
    <col min="7" max="7" width="7.7265625" customWidth="1"/>
    <col min="8" max="8" width="1.7265625" customWidth="1"/>
    <col min="9" max="9" width="7.7265625" customWidth="1"/>
    <col min="10" max="10" width="1.7265625" customWidth="1"/>
    <col min="11" max="11" width="7.7265625" customWidth="1"/>
    <col min="12" max="12" width="1.7265625" customWidth="1"/>
    <col min="13" max="13" width="7.7265625" customWidth="1"/>
    <col min="14" max="14" width="2.7265625" customWidth="1"/>
    <col min="15" max="15" width="7.7265625" customWidth="1"/>
    <col min="16" max="16" width="1.7265625" customWidth="1"/>
  </cols>
  <sheetData>
    <row r="1" spans="1:18" ht="11.25" customHeight="1">
      <c r="A1" s="774" t="s">
        <v>156</v>
      </c>
      <c r="B1" s="774"/>
      <c r="C1" s="774"/>
      <c r="D1" s="774"/>
      <c r="E1" s="774"/>
      <c r="F1" s="774"/>
      <c r="G1" s="774"/>
      <c r="H1" s="774"/>
      <c r="I1" s="774"/>
      <c r="J1" s="774"/>
      <c r="K1" s="774"/>
      <c r="L1" s="774"/>
      <c r="M1" s="774"/>
      <c r="N1" s="774"/>
      <c r="O1" s="774"/>
      <c r="P1" s="774"/>
    </row>
    <row r="2" spans="1:18" ht="11.25" customHeight="1">
      <c r="A2" s="774" t="s">
        <v>727</v>
      </c>
      <c r="B2" s="774"/>
      <c r="C2" s="774"/>
      <c r="D2" s="774"/>
      <c r="E2" s="774"/>
      <c r="F2" s="774"/>
      <c r="G2" s="774"/>
      <c r="H2" s="774"/>
      <c r="I2" s="774"/>
      <c r="J2" s="774"/>
      <c r="K2" s="774"/>
      <c r="L2" s="774"/>
      <c r="M2" s="774"/>
      <c r="N2" s="774"/>
      <c r="O2" s="774"/>
      <c r="P2" s="774"/>
    </row>
    <row r="3" spans="1:18" ht="11.25" customHeight="1">
      <c r="A3" s="698"/>
      <c r="B3" s="691"/>
      <c r="C3" s="691"/>
      <c r="D3" s="691"/>
      <c r="E3" s="691"/>
      <c r="F3" s="691"/>
      <c r="G3" s="691"/>
      <c r="H3" s="691"/>
      <c r="I3" s="691"/>
      <c r="J3" s="691"/>
      <c r="K3" s="691"/>
      <c r="L3" s="691"/>
      <c r="M3" s="691"/>
      <c r="N3" s="691"/>
      <c r="O3" s="691"/>
      <c r="P3" s="691"/>
    </row>
    <row r="4" spans="1:18" ht="11.25" customHeight="1">
      <c r="A4" s="774" t="s">
        <v>80</v>
      </c>
      <c r="B4" s="774"/>
      <c r="C4" s="774"/>
      <c r="D4" s="774"/>
      <c r="E4" s="774"/>
      <c r="F4" s="774"/>
      <c r="G4" s="774"/>
      <c r="H4" s="774"/>
      <c r="I4" s="774"/>
      <c r="J4" s="774"/>
      <c r="K4" s="774"/>
      <c r="L4" s="774"/>
      <c r="M4" s="774"/>
      <c r="N4" s="774"/>
      <c r="O4" s="774"/>
      <c r="P4" s="774"/>
    </row>
    <row r="5" spans="1:18" ht="11.25" customHeight="1">
      <c r="A5" s="775"/>
      <c r="B5" s="775"/>
      <c r="C5" s="775"/>
      <c r="D5" s="775"/>
      <c r="E5" s="775"/>
      <c r="F5" s="775"/>
      <c r="G5" s="775"/>
      <c r="H5" s="775"/>
      <c r="I5" s="775"/>
      <c r="J5" s="775"/>
      <c r="K5" s="775"/>
      <c r="L5" s="775"/>
      <c r="M5" s="775"/>
      <c r="N5" s="775"/>
      <c r="O5" s="775"/>
      <c r="P5" s="776"/>
    </row>
    <row r="6" spans="1:18" ht="11.25" customHeight="1">
      <c r="A6" s="245"/>
      <c r="B6" s="245"/>
      <c r="C6" s="245"/>
      <c r="D6" s="245"/>
      <c r="E6" s="245"/>
      <c r="F6" s="245"/>
      <c r="G6" s="245"/>
      <c r="H6" s="245"/>
      <c r="I6" s="245"/>
      <c r="J6" s="245"/>
      <c r="K6" s="245" t="s">
        <v>157</v>
      </c>
      <c r="L6" s="245"/>
      <c r="M6" s="245"/>
      <c r="N6" s="245"/>
      <c r="O6" s="245"/>
      <c r="P6" s="141"/>
    </row>
    <row r="7" spans="1:18" ht="11.25" customHeight="1">
      <c r="A7" s="246"/>
      <c r="B7" s="246"/>
      <c r="C7" s="233" t="s">
        <v>158</v>
      </c>
      <c r="D7" s="246"/>
      <c r="E7" s="246" t="s">
        <v>159</v>
      </c>
      <c r="F7" s="246"/>
      <c r="G7" s="246"/>
      <c r="H7" s="246"/>
      <c r="I7" s="246" t="s">
        <v>160</v>
      </c>
      <c r="J7" s="246"/>
      <c r="K7" s="246" t="s">
        <v>161</v>
      </c>
      <c r="L7" s="246"/>
      <c r="M7" s="246" t="s">
        <v>162</v>
      </c>
      <c r="N7" s="246"/>
      <c r="O7" s="246"/>
      <c r="P7" s="141"/>
    </row>
    <row r="8" spans="1:18" ht="11.25" customHeight="1">
      <c r="A8" s="246"/>
      <c r="B8" s="246"/>
      <c r="C8" s="247" t="s">
        <v>163</v>
      </c>
      <c r="D8" s="246"/>
      <c r="E8" s="246" t="s">
        <v>164</v>
      </c>
      <c r="F8" s="246"/>
      <c r="G8" s="246"/>
      <c r="H8" s="246"/>
      <c r="I8" s="246" t="s">
        <v>165</v>
      </c>
      <c r="J8" s="246"/>
      <c r="K8" s="246" t="s">
        <v>166</v>
      </c>
      <c r="L8" s="246"/>
      <c r="M8" s="246" t="s">
        <v>167</v>
      </c>
      <c r="N8" s="246"/>
      <c r="O8" s="246"/>
      <c r="P8" s="141"/>
    </row>
    <row r="9" spans="1:18" ht="11.25" customHeight="1">
      <c r="A9" s="248" t="s">
        <v>168</v>
      </c>
      <c r="B9" s="248"/>
      <c r="C9" s="249" t="s">
        <v>169</v>
      </c>
      <c r="D9" s="248"/>
      <c r="E9" s="248" t="s">
        <v>170</v>
      </c>
      <c r="F9" s="248"/>
      <c r="G9" s="248" t="s">
        <v>171</v>
      </c>
      <c r="H9" s="248"/>
      <c r="I9" s="248" t="s">
        <v>172</v>
      </c>
      <c r="J9" s="248"/>
      <c r="K9" s="248" t="s">
        <v>173</v>
      </c>
      <c r="L9" s="248"/>
      <c r="M9" s="248" t="s">
        <v>174</v>
      </c>
      <c r="N9" s="250"/>
      <c r="O9" s="251" t="s">
        <v>131</v>
      </c>
      <c r="P9" s="139"/>
    </row>
    <row r="10" spans="1:18" ht="11.25" customHeight="1">
      <c r="A10" s="252" t="s">
        <v>7</v>
      </c>
      <c r="B10" s="16"/>
      <c r="C10" s="35">
        <v>1970</v>
      </c>
      <c r="D10" s="5"/>
      <c r="E10" s="35">
        <v>237</v>
      </c>
      <c r="F10" s="360"/>
      <c r="G10" s="35">
        <v>53</v>
      </c>
      <c r="H10" s="360"/>
      <c r="I10" s="5">
        <v>178</v>
      </c>
      <c r="J10" s="360"/>
      <c r="K10" s="320">
        <v>6</v>
      </c>
      <c r="L10" s="360"/>
      <c r="M10" s="5">
        <v>10</v>
      </c>
      <c r="N10" s="360"/>
      <c r="O10" s="5">
        <v>2450</v>
      </c>
      <c r="P10" s="491"/>
    </row>
    <row r="11" spans="1:18" ht="11.25" customHeight="1">
      <c r="A11" s="253" t="s">
        <v>8</v>
      </c>
      <c r="B11" s="16"/>
      <c r="C11" s="35">
        <v>1870</v>
      </c>
      <c r="D11" s="5"/>
      <c r="E11" s="35">
        <v>810</v>
      </c>
      <c r="F11" s="360"/>
      <c r="G11" s="35">
        <v>291</v>
      </c>
      <c r="H11" s="360"/>
      <c r="I11" s="5">
        <v>310</v>
      </c>
      <c r="J11" s="360"/>
      <c r="K11" s="5">
        <v>85</v>
      </c>
      <c r="L11" s="360"/>
      <c r="M11" s="5">
        <v>113</v>
      </c>
      <c r="N11" s="360"/>
      <c r="O11" s="5">
        <v>3480</v>
      </c>
      <c r="P11" s="405" t="s">
        <v>690</v>
      </c>
    </row>
    <row r="12" spans="1:18" ht="11.25" customHeight="1">
      <c r="A12" s="253" t="s">
        <v>9</v>
      </c>
      <c r="B12" s="16"/>
      <c r="C12" s="35">
        <v>590</v>
      </c>
      <c r="D12" s="5"/>
      <c r="E12" s="35">
        <v>58</v>
      </c>
      <c r="F12" s="360"/>
      <c r="G12" s="35">
        <v>788</v>
      </c>
      <c r="H12" s="360"/>
      <c r="I12" s="5">
        <v>124</v>
      </c>
      <c r="J12" s="360"/>
      <c r="K12" s="5">
        <v>100</v>
      </c>
      <c r="L12" s="360"/>
      <c r="M12" s="5">
        <v>2</v>
      </c>
      <c r="N12" s="360"/>
      <c r="O12" s="5">
        <v>1660</v>
      </c>
      <c r="P12" s="405"/>
      <c r="R12" s="320"/>
    </row>
    <row r="13" spans="1:18" ht="11.25" customHeight="1">
      <c r="A13" s="253" t="s">
        <v>34</v>
      </c>
      <c r="B13" s="16"/>
      <c r="C13" s="35">
        <v>2930</v>
      </c>
      <c r="D13" s="5"/>
      <c r="E13" s="35">
        <v>455</v>
      </c>
      <c r="F13" s="360"/>
      <c r="G13" s="35">
        <v>323</v>
      </c>
      <c r="H13" s="360"/>
      <c r="I13" s="5">
        <v>115</v>
      </c>
      <c r="J13" s="360"/>
      <c r="K13" s="5">
        <v>138</v>
      </c>
      <c r="L13" s="360"/>
      <c r="M13" s="5">
        <v>55</v>
      </c>
      <c r="N13" s="360"/>
      <c r="O13" s="5">
        <v>4018</v>
      </c>
      <c r="P13" s="405"/>
    </row>
    <row r="14" spans="1:18" ht="11.25" customHeight="1">
      <c r="A14" s="253" t="s">
        <v>35</v>
      </c>
      <c r="B14" s="16"/>
      <c r="C14" s="35">
        <v>4230</v>
      </c>
      <c r="D14" s="5"/>
      <c r="E14" s="35">
        <v>499</v>
      </c>
      <c r="F14" s="360"/>
      <c r="G14" s="35">
        <v>585</v>
      </c>
      <c r="H14" s="360"/>
      <c r="I14" s="5">
        <v>176</v>
      </c>
      <c r="J14" s="360"/>
      <c r="K14" s="320">
        <v>6</v>
      </c>
      <c r="L14" s="360"/>
      <c r="M14" s="5">
        <v>102</v>
      </c>
      <c r="N14" s="360"/>
      <c r="O14" s="5">
        <v>5593</v>
      </c>
      <c r="P14" s="492"/>
    </row>
    <row r="15" spans="1:18" ht="11.25" customHeight="1">
      <c r="A15" s="253" t="s">
        <v>13</v>
      </c>
      <c r="B15" s="16"/>
      <c r="C15" s="35">
        <v>3060</v>
      </c>
      <c r="D15" s="5"/>
      <c r="E15" s="35">
        <v>359</v>
      </c>
      <c r="F15" s="360"/>
      <c r="G15" s="35">
        <v>346</v>
      </c>
      <c r="H15" s="360"/>
      <c r="I15" s="5">
        <v>14</v>
      </c>
      <c r="J15" s="360"/>
      <c r="K15" s="5">
        <v>151</v>
      </c>
      <c r="L15" s="360"/>
      <c r="M15" s="5">
        <v>26</v>
      </c>
      <c r="N15" s="360"/>
      <c r="O15" s="5">
        <v>3960</v>
      </c>
      <c r="P15" s="405"/>
    </row>
    <row r="16" spans="1:18" ht="11.25" customHeight="1">
      <c r="A16" s="253" t="s">
        <v>14</v>
      </c>
      <c r="B16" s="16"/>
      <c r="C16" s="35">
        <v>1590</v>
      </c>
      <c r="D16" s="5"/>
      <c r="E16" s="35">
        <v>151</v>
      </c>
      <c r="F16" s="360"/>
      <c r="G16" s="35">
        <v>187</v>
      </c>
      <c r="H16" s="360"/>
      <c r="I16" s="5">
        <v>52</v>
      </c>
      <c r="J16" s="360"/>
      <c r="K16" s="5">
        <v>8</v>
      </c>
      <c r="L16" s="360"/>
      <c r="M16" s="320">
        <v>19</v>
      </c>
      <c r="N16" s="360"/>
      <c r="O16" s="5">
        <v>2005</v>
      </c>
      <c r="P16" s="492"/>
    </row>
    <row r="17" spans="1:16" ht="11.25" customHeight="1">
      <c r="A17" s="253" t="s">
        <v>15</v>
      </c>
      <c r="B17" s="16"/>
      <c r="C17" s="35">
        <v>7670</v>
      </c>
      <c r="D17" s="5"/>
      <c r="E17" s="35">
        <v>671</v>
      </c>
      <c r="F17" s="360"/>
      <c r="G17" s="35">
        <v>1050</v>
      </c>
      <c r="H17" s="360"/>
      <c r="I17" s="5">
        <v>150</v>
      </c>
      <c r="J17" s="360"/>
      <c r="K17" s="5">
        <v>91</v>
      </c>
      <c r="L17" s="360"/>
      <c r="M17" s="5">
        <v>100</v>
      </c>
      <c r="N17" s="360"/>
      <c r="O17" s="5">
        <v>9727</v>
      </c>
      <c r="P17" s="405"/>
    </row>
    <row r="18" spans="1:16" ht="11.25" customHeight="1">
      <c r="A18" s="253" t="s">
        <v>16</v>
      </c>
      <c r="B18" s="16"/>
      <c r="C18" s="35">
        <v>5500</v>
      </c>
      <c r="D18" s="5"/>
      <c r="E18" s="35">
        <v>2190</v>
      </c>
      <c r="F18" s="360"/>
      <c r="G18" s="35">
        <v>619</v>
      </c>
      <c r="H18" s="360"/>
      <c r="I18" s="5">
        <v>120</v>
      </c>
      <c r="J18" s="360"/>
      <c r="K18" s="372" t="s">
        <v>543</v>
      </c>
      <c r="L18" s="360"/>
      <c r="M18" s="5">
        <v>138</v>
      </c>
      <c r="N18" s="360"/>
      <c r="O18" s="5">
        <v>8566</v>
      </c>
      <c r="P18" s="405"/>
    </row>
    <row r="19" spans="1:16" ht="11.25" customHeight="1">
      <c r="A19" s="253" t="s">
        <v>17</v>
      </c>
      <c r="B19" s="16"/>
      <c r="C19" s="35">
        <v>4110</v>
      </c>
      <c r="D19" s="5"/>
      <c r="E19" s="35">
        <v>870</v>
      </c>
      <c r="F19" s="360"/>
      <c r="G19" s="35">
        <v>417</v>
      </c>
      <c r="H19" s="360"/>
      <c r="I19" s="5">
        <v>407</v>
      </c>
      <c r="J19" s="360"/>
      <c r="K19" s="5">
        <v>16</v>
      </c>
      <c r="L19" s="360"/>
      <c r="M19" s="5">
        <v>25</v>
      </c>
      <c r="N19" s="360"/>
      <c r="O19" s="5">
        <v>5850</v>
      </c>
      <c r="P19" s="405" t="s">
        <v>690</v>
      </c>
    </row>
    <row r="20" spans="1:16" ht="11.25" customHeight="1">
      <c r="A20" s="253" t="s">
        <v>18</v>
      </c>
      <c r="B20" s="16"/>
      <c r="C20" s="35">
        <v>2700</v>
      </c>
      <c r="D20" s="5"/>
      <c r="E20" s="35">
        <v>523</v>
      </c>
      <c r="F20" s="360"/>
      <c r="G20" s="35">
        <v>394</v>
      </c>
      <c r="H20" s="360"/>
      <c r="I20" s="5">
        <v>68</v>
      </c>
      <c r="J20" s="360"/>
      <c r="K20" s="320">
        <v>10</v>
      </c>
      <c r="L20" s="360"/>
      <c r="M20" s="5">
        <v>9</v>
      </c>
      <c r="N20" s="360"/>
      <c r="O20" s="5">
        <v>3701</v>
      </c>
      <c r="P20" s="405"/>
    </row>
    <row r="21" spans="1:16" ht="11.25" customHeight="1">
      <c r="A21" s="253" t="s">
        <v>37</v>
      </c>
      <c r="B21" s="16"/>
      <c r="C21" s="35">
        <v>6120</v>
      </c>
      <c r="D21" s="5"/>
      <c r="E21" s="35">
        <v>603</v>
      </c>
      <c r="F21" s="360"/>
      <c r="G21" s="35">
        <v>743</v>
      </c>
      <c r="H21" s="360"/>
      <c r="I21" s="5">
        <v>522</v>
      </c>
      <c r="J21" s="360"/>
      <c r="K21" s="5">
        <v>25</v>
      </c>
      <c r="L21" s="360"/>
      <c r="M21" s="5">
        <v>25</v>
      </c>
      <c r="N21" s="360"/>
      <c r="O21" s="5">
        <v>8041</v>
      </c>
      <c r="P21" s="405"/>
    </row>
    <row r="22" spans="1:16" ht="11.25" customHeight="1">
      <c r="A22" s="253" t="s">
        <v>19</v>
      </c>
      <c r="B22" s="16"/>
      <c r="C22" s="35">
        <v>1780</v>
      </c>
      <c r="D22" s="5"/>
      <c r="E22" s="35">
        <v>95</v>
      </c>
      <c r="F22" s="360"/>
      <c r="G22" s="35">
        <v>263</v>
      </c>
      <c r="H22" s="360"/>
      <c r="I22" s="5">
        <v>91</v>
      </c>
      <c r="J22" s="360"/>
      <c r="K22" s="5">
        <v>68</v>
      </c>
      <c r="L22" s="360"/>
      <c r="M22" s="5">
        <v>6</v>
      </c>
      <c r="N22" s="360"/>
      <c r="O22" s="5">
        <v>2301</v>
      </c>
      <c r="P22" s="405"/>
    </row>
    <row r="23" spans="1:16" ht="11.25" customHeight="1">
      <c r="A23" s="253" t="s">
        <v>20</v>
      </c>
      <c r="B23" s="16"/>
      <c r="C23" s="35">
        <v>4860</v>
      </c>
      <c r="D23" s="5"/>
      <c r="E23" s="35">
        <v>322</v>
      </c>
      <c r="F23" s="360"/>
      <c r="G23" s="35">
        <v>1140</v>
      </c>
      <c r="H23" s="360"/>
      <c r="I23" s="5">
        <v>310</v>
      </c>
      <c r="J23" s="360"/>
      <c r="K23" s="5">
        <v>949</v>
      </c>
      <c r="L23" s="360"/>
      <c r="M23" s="5">
        <v>198</v>
      </c>
      <c r="N23" s="360"/>
      <c r="O23" s="5">
        <v>7780</v>
      </c>
      <c r="P23" s="405" t="s">
        <v>690</v>
      </c>
    </row>
    <row r="24" spans="1:16" ht="11.25" customHeight="1">
      <c r="A24" s="253" t="s">
        <v>21</v>
      </c>
      <c r="B24" s="16"/>
      <c r="C24" s="35">
        <v>6690</v>
      </c>
      <c r="D24" s="5"/>
      <c r="E24" s="35">
        <v>1040</v>
      </c>
      <c r="F24" s="360"/>
      <c r="G24" s="35">
        <v>1070</v>
      </c>
      <c r="H24" s="360"/>
      <c r="I24" s="5">
        <v>355</v>
      </c>
      <c r="J24" s="360"/>
      <c r="K24" s="5">
        <v>281</v>
      </c>
      <c r="L24" s="360"/>
      <c r="M24" s="5">
        <v>124</v>
      </c>
      <c r="N24" s="360"/>
      <c r="O24" s="5">
        <v>9670</v>
      </c>
      <c r="P24" s="405" t="s">
        <v>690</v>
      </c>
    </row>
    <row r="25" spans="1:16" ht="11.25" customHeight="1">
      <c r="A25" s="253" t="s">
        <v>22</v>
      </c>
      <c r="B25" s="16"/>
      <c r="C25" s="35">
        <v>3580</v>
      </c>
      <c r="D25" s="5"/>
      <c r="E25" s="35">
        <v>1050</v>
      </c>
      <c r="F25" s="360"/>
      <c r="G25" s="35">
        <v>149</v>
      </c>
      <c r="H25" s="360"/>
      <c r="I25" s="5">
        <v>86</v>
      </c>
      <c r="J25" s="360"/>
      <c r="K25" s="5">
        <v>94</v>
      </c>
      <c r="L25" s="360"/>
      <c r="M25" s="5">
        <v>46</v>
      </c>
      <c r="N25" s="360"/>
      <c r="O25" s="5">
        <v>5014</v>
      </c>
      <c r="P25" s="491"/>
    </row>
    <row r="26" spans="1:16" ht="11.25" customHeight="1">
      <c r="A26" s="253" t="s">
        <v>23</v>
      </c>
      <c r="B26" s="16"/>
      <c r="C26" s="35">
        <v>2200</v>
      </c>
      <c r="D26" s="5"/>
      <c r="E26" s="35">
        <v>164</v>
      </c>
      <c r="F26" s="360"/>
      <c r="G26" s="35">
        <v>176</v>
      </c>
      <c r="H26" s="360"/>
      <c r="I26" s="5">
        <v>61</v>
      </c>
      <c r="J26" s="360"/>
      <c r="K26" s="5">
        <v>91</v>
      </c>
      <c r="L26" s="360"/>
      <c r="M26" s="5">
        <v>46</v>
      </c>
      <c r="N26" s="360"/>
      <c r="O26" s="5">
        <v>2732</v>
      </c>
      <c r="P26" s="491"/>
    </row>
    <row r="27" spans="1:16" ht="11.25" customHeight="1">
      <c r="A27" s="253" t="s">
        <v>139</v>
      </c>
      <c r="B27" s="16"/>
      <c r="C27" s="35">
        <v>1870</v>
      </c>
      <c r="D27" s="5"/>
      <c r="E27" s="35">
        <v>134</v>
      </c>
      <c r="F27" s="360"/>
      <c r="G27" s="35">
        <v>73</v>
      </c>
      <c r="H27" s="360"/>
      <c r="I27" s="5">
        <v>29</v>
      </c>
      <c r="J27" s="360"/>
      <c r="K27" s="5">
        <v>274</v>
      </c>
      <c r="L27" s="360"/>
      <c r="M27" s="5">
        <v>101</v>
      </c>
      <c r="N27" s="360"/>
      <c r="O27" s="5">
        <v>2479</v>
      </c>
      <c r="P27" s="405"/>
    </row>
    <row r="28" spans="1:16" ht="11.25" customHeight="1">
      <c r="A28" s="253" t="s">
        <v>24</v>
      </c>
      <c r="B28" s="16"/>
      <c r="C28" s="35">
        <v>361</v>
      </c>
      <c r="D28" s="5"/>
      <c r="E28" s="35">
        <v>15</v>
      </c>
      <c r="F28" s="360"/>
      <c r="G28" s="320">
        <v>3</v>
      </c>
      <c r="H28" s="360"/>
      <c r="I28" s="320">
        <v>4</v>
      </c>
      <c r="J28" s="360"/>
      <c r="K28" s="320">
        <v>47</v>
      </c>
      <c r="L28" s="360"/>
      <c r="M28" s="122" t="s">
        <v>25</v>
      </c>
      <c r="N28" s="360"/>
      <c r="O28" s="5">
        <v>430</v>
      </c>
      <c r="P28" s="405" t="s">
        <v>690</v>
      </c>
    </row>
    <row r="29" spans="1:16" ht="11.25" customHeight="1">
      <c r="A29" s="253" t="s">
        <v>26</v>
      </c>
      <c r="B29" s="16"/>
      <c r="C29" s="35">
        <v>7390</v>
      </c>
      <c r="D29" s="5"/>
      <c r="E29" s="35">
        <v>850</v>
      </c>
      <c r="F29" s="360"/>
      <c r="G29" s="35">
        <v>566</v>
      </c>
      <c r="H29" s="360"/>
      <c r="I29" s="5">
        <v>746</v>
      </c>
      <c r="J29" s="360"/>
      <c r="K29" s="5">
        <v>110</v>
      </c>
      <c r="L29" s="360"/>
      <c r="M29" s="5">
        <v>26</v>
      </c>
      <c r="N29" s="360"/>
      <c r="O29" s="5">
        <v>9690</v>
      </c>
      <c r="P29" s="405" t="s">
        <v>690</v>
      </c>
    </row>
    <row r="30" spans="1:16" ht="11.25" customHeight="1">
      <c r="A30" s="253" t="s">
        <v>27</v>
      </c>
      <c r="B30" s="16"/>
      <c r="C30" s="35">
        <v>1410</v>
      </c>
      <c r="D30" s="5"/>
      <c r="E30" s="35">
        <v>260</v>
      </c>
      <c r="F30" s="360"/>
      <c r="G30" s="35">
        <v>83</v>
      </c>
      <c r="H30" s="360"/>
      <c r="I30" s="5">
        <v>44</v>
      </c>
      <c r="J30" s="360"/>
      <c r="K30" s="5">
        <v>39</v>
      </c>
      <c r="L30" s="360"/>
      <c r="M30" s="5">
        <v>183</v>
      </c>
      <c r="N30" s="360"/>
      <c r="O30" s="5">
        <v>2019</v>
      </c>
      <c r="P30" s="492"/>
    </row>
    <row r="31" spans="1:16" ht="11.25" customHeight="1">
      <c r="A31" s="253" t="s">
        <v>806</v>
      </c>
      <c r="B31" s="16"/>
      <c r="C31" s="384">
        <v>4860</v>
      </c>
      <c r="D31" s="453"/>
      <c r="E31" s="384">
        <v>753</v>
      </c>
      <c r="F31" s="493"/>
      <c r="G31" s="384">
        <v>176</v>
      </c>
      <c r="H31" s="493"/>
      <c r="I31" s="453">
        <v>69</v>
      </c>
      <c r="J31" s="493"/>
      <c r="K31" s="469">
        <v>22</v>
      </c>
      <c r="L31" s="493"/>
      <c r="M31" s="453">
        <v>153</v>
      </c>
      <c r="N31" s="493"/>
      <c r="O31" s="453">
        <v>6030</v>
      </c>
      <c r="P31" s="405" t="s">
        <v>690</v>
      </c>
    </row>
    <row r="32" spans="1:16" ht="11.25" customHeight="1">
      <c r="A32" s="254" t="s">
        <v>131</v>
      </c>
      <c r="B32" s="16"/>
      <c r="C32" s="35">
        <v>77300</v>
      </c>
      <c r="D32" s="5"/>
      <c r="E32" s="35">
        <v>12100</v>
      </c>
      <c r="F32" s="360"/>
      <c r="G32" s="35">
        <v>9500</v>
      </c>
      <c r="H32" s="360"/>
      <c r="I32" s="5">
        <v>4030</v>
      </c>
      <c r="J32" s="360"/>
      <c r="K32" s="5">
        <v>2610</v>
      </c>
      <c r="L32" s="360"/>
      <c r="M32" s="5">
        <v>1510</v>
      </c>
      <c r="N32" s="360"/>
      <c r="O32" s="5">
        <v>107000</v>
      </c>
      <c r="P32" s="633" t="s">
        <v>690</v>
      </c>
    </row>
    <row r="33" spans="1:29" ht="11.25" customHeight="1">
      <c r="A33" s="253" t="s">
        <v>28</v>
      </c>
      <c r="B33" s="16"/>
      <c r="C33" s="293">
        <v>532</v>
      </c>
      <c r="D33" s="5"/>
      <c r="E33" s="293">
        <v>34</v>
      </c>
      <c r="F33" s="361"/>
      <c r="G33" s="122" t="s">
        <v>25</v>
      </c>
      <c r="H33" s="360"/>
      <c r="I33" s="5">
        <v>83</v>
      </c>
      <c r="J33" s="360"/>
      <c r="K33" s="122" t="s">
        <v>25</v>
      </c>
      <c r="L33" s="360"/>
      <c r="M33" s="122" t="s">
        <v>25</v>
      </c>
      <c r="N33" s="360"/>
      <c r="O33" s="5">
        <v>648</v>
      </c>
      <c r="P33" s="348"/>
    </row>
    <row r="34" spans="1:29" ht="11.25" customHeight="1">
      <c r="A34" s="255" t="s">
        <v>415</v>
      </c>
      <c r="B34" s="55"/>
      <c r="C34" s="85">
        <v>77900</v>
      </c>
      <c r="D34" s="362"/>
      <c r="E34" s="85">
        <v>12100</v>
      </c>
      <c r="F34" s="377" t="s">
        <v>55</v>
      </c>
      <c r="G34" s="85">
        <v>9500</v>
      </c>
      <c r="H34" s="363" t="s">
        <v>753</v>
      </c>
      <c r="I34" s="362">
        <v>4110</v>
      </c>
      <c r="J34" s="364"/>
      <c r="K34" s="362">
        <v>2610</v>
      </c>
      <c r="L34" s="363" t="s">
        <v>550</v>
      </c>
      <c r="M34" s="362">
        <v>1510</v>
      </c>
      <c r="N34" s="363" t="s">
        <v>794</v>
      </c>
      <c r="O34" s="362">
        <v>108000</v>
      </c>
      <c r="P34" s="363" t="s">
        <v>690</v>
      </c>
      <c r="Q34" s="257"/>
      <c r="R34" s="257"/>
      <c r="S34" s="257"/>
      <c r="T34" s="257"/>
      <c r="U34" s="257"/>
      <c r="V34" s="257"/>
      <c r="W34" s="257"/>
      <c r="X34" s="257"/>
      <c r="Y34" s="257"/>
      <c r="Z34" s="257"/>
      <c r="AA34" s="257"/>
      <c r="AB34" s="257"/>
      <c r="AC34" s="257"/>
    </row>
    <row r="35" spans="1:29" ht="11.25" customHeight="1">
      <c r="A35" s="723" t="s">
        <v>57</v>
      </c>
      <c r="B35" s="692"/>
      <c r="C35" s="692"/>
      <c r="D35" s="692"/>
      <c r="E35" s="692"/>
      <c r="F35" s="692"/>
      <c r="G35" s="692"/>
      <c r="H35" s="692"/>
      <c r="I35" s="692"/>
      <c r="J35" s="692"/>
      <c r="K35" s="692"/>
      <c r="L35" s="692"/>
      <c r="M35" s="692"/>
      <c r="N35" s="692"/>
      <c r="O35" s="692"/>
      <c r="P35" s="692"/>
      <c r="R35" s="257"/>
      <c r="S35" s="257"/>
      <c r="T35" s="257"/>
      <c r="U35" s="257"/>
      <c r="V35" s="257"/>
      <c r="W35" s="257"/>
      <c r="X35" s="257"/>
      <c r="Y35" s="257"/>
      <c r="Z35" s="257"/>
      <c r="AA35" s="257"/>
      <c r="AB35" s="257"/>
    </row>
    <row r="36" spans="1:29" ht="33.75" customHeight="1">
      <c r="A36" s="772" t="s">
        <v>830</v>
      </c>
      <c r="B36" s="695"/>
      <c r="C36" s="695"/>
      <c r="D36" s="695"/>
      <c r="E36" s="695"/>
      <c r="F36" s="695"/>
      <c r="G36" s="695"/>
      <c r="H36" s="695"/>
      <c r="I36" s="695"/>
      <c r="J36" s="695"/>
      <c r="K36" s="695"/>
      <c r="L36" s="695"/>
      <c r="M36" s="695"/>
      <c r="N36" s="695"/>
      <c r="O36" s="695"/>
      <c r="P36" s="695"/>
    </row>
    <row r="37" spans="1:29" ht="22.5" customHeight="1">
      <c r="A37" s="695" t="s">
        <v>398</v>
      </c>
      <c r="B37" s="695"/>
      <c r="C37" s="695"/>
      <c r="D37" s="695"/>
      <c r="E37" s="695"/>
      <c r="F37" s="695"/>
      <c r="G37" s="695"/>
      <c r="H37" s="695"/>
      <c r="I37" s="695"/>
      <c r="J37" s="695"/>
      <c r="K37" s="695"/>
      <c r="L37" s="695"/>
      <c r="M37" s="695"/>
      <c r="N37" s="695"/>
      <c r="O37" s="695"/>
      <c r="P37" s="695"/>
    </row>
    <row r="38" spans="1:29" ht="11.25" customHeight="1">
      <c r="A38" s="692" t="s">
        <v>177</v>
      </c>
      <c r="B38" s="692"/>
      <c r="C38" s="692"/>
      <c r="D38" s="692"/>
      <c r="E38" s="692"/>
      <c r="F38" s="692"/>
      <c r="G38" s="692"/>
      <c r="H38" s="692"/>
      <c r="I38" s="692"/>
      <c r="J38" s="692"/>
      <c r="K38" s="692"/>
      <c r="L38" s="692"/>
      <c r="M38" s="692"/>
      <c r="N38" s="692"/>
      <c r="O38" s="692"/>
      <c r="P38" s="692"/>
    </row>
    <row r="39" spans="1:29" ht="11.25" customHeight="1">
      <c r="A39" s="692" t="s">
        <v>133</v>
      </c>
      <c r="B39" s="692"/>
      <c r="C39" s="692"/>
      <c r="D39" s="692"/>
      <c r="E39" s="692"/>
      <c r="F39" s="692"/>
      <c r="G39" s="692"/>
      <c r="H39" s="692"/>
      <c r="I39" s="692"/>
      <c r="J39" s="692"/>
      <c r="K39" s="692"/>
      <c r="L39" s="692"/>
      <c r="M39" s="692"/>
      <c r="N39" s="692"/>
      <c r="O39" s="692"/>
      <c r="P39" s="692"/>
    </row>
    <row r="40" spans="1:29" ht="11.25" customHeight="1">
      <c r="A40" s="748" t="s">
        <v>348</v>
      </c>
      <c r="B40" s="748"/>
      <c r="C40" s="748"/>
      <c r="D40" s="748"/>
      <c r="E40" s="748"/>
      <c r="F40" s="748"/>
      <c r="G40" s="748"/>
      <c r="H40" s="748"/>
      <c r="I40" s="748"/>
      <c r="J40" s="707"/>
      <c r="K40" s="707"/>
      <c r="L40" s="707"/>
      <c r="M40" s="707"/>
      <c r="N40" s="707"/>
      <c r="O40" s="707"/>
      <c r="P40" s="707"/>
    </row>
    <row r="41" spans="1:29" ht="11.25" customHeight="1">
      <c r="A41" s="773" t="s">
        <v>801</v>
      </c>
      <c r="B41" s="773"/>
      <c r="C41" s="773"/>
      <c r="D41" s="773"/>
      <c r="E41" s="773"/>
      <c r="F41" s="773"/>
      <c r="G41" s="773"/>
      <c r="H41" s="773"/>
      <c r="I41" s="773"/>
      <c r="J41" s="773"/>
      <c r="K41" s="773"/>
      <c r="L41" s="773"/>
      <c r="M41" s="773"/>
      <c r="N41" s="773"/>
      <c r="O41" s="773"/>
      <c r="P41" s="773"/>
    </row>
    <row r="42" spans="1:29" ht="11.25" customHeight="1">
      <c r="A42" s="773" t="s">
        <v>802</v>
      </c>
      <c r="B42" s="773"/>
      <c r="C42" s="773"/>
      <c r="D42" s="773"/>
      <c r="E42" s="773"/>
      <c r="F42" s="773"/>
      <c r="G42" s="773"/>
      <c r="H42" s="773"/>
      <c r="I42" s="773"/>
      <c r="J42" s="773"/>
      <c r="K42" s="773"/>
      <c r="L42" s="773"/>
      <c r="M42" s="773"/>
      <c r="N42" s="773"/>
      <c r="O42" s="773"/>
      <c r="P42" s="773"/>
    </row>
    <row r="43" spans="1:29" ht="11.25" customHeight="1">
      <c r="A43" s="692" t="s">
        <v>840</v>
      </c>
      <c r="B43" s="692"/>
      <c r="C43" s="692"/>
      <c r="D43" s="692"/>
      <c r="E43" s="692"/>
      <c r="F43" s="692"/>
      <c r="G43" s="692"/>
      <c r="H43" s="692"/>
      <c r="I43" s="692"/>
      <c r="J43" s="692"/>
      <c r="K43" s="692"/>
      <c r="L43" s="692"/>
      <c r="M43" s="692"/>
      <c r="N43" s="692"/>
      <c r="O43" s="692"/>
      <c r="P43" s="692"/>
    </row>
    <row r="44" spans="1:29" ht="11.25" customHeight="1">
      <c r="A44" s="692" t="s">
        <v>803</v>
      </c>
      <c r="B44" s="692"/>
      <c r="C44" s="692"/>
      <c r="D44" s="692"/>
      <c r="E44" s="692"/>
      <c r="F44" s="692"/>
      <c r="G44" s="692"/>
      <c r="H44" s="692"/>
      <c r="I44" s="692"/>
      <c r="J44" s="692"/>
      <c r="K44" s="692"/>
      <c r="L44" s="692"/>
      <c r="M44" s="692"/>
      <c r="N44" s="692"/>
      <c r="O44" s="692"/>
      <c r="P44" s="692"/>
    </row>
    <row r="45" spans="1:29" ht="11.25" customHeight="1">
      <c r="A45" s="692" t="s">
        <v>804</v>
      </c>
      <c r="B45" s="692"/>
      <c r="C45" s="692"/>
      <c r="D45" s="692"/>
      <c r="E45" s="692"/>
      <c r="F45" s="692"/>
      <c r="G45" s="692"/>
      <c r="H45" s="692"/>
      <c r="I45" s="692"/>
      <c r="J45" s="692"/>
      <c r="K45" s="692"/>
      <c r="L45" s="692"/>
      <c r="M45" s="692"/>
      <c r="N45" s="692"/>
      <c r="O45" s="692"/>
      <c r="P45" s="692"/>
    </row>
    <row r="46" spans="1:29" ht="11.25" customHeight="1">
      <c r="A46" s="692" t="s">
        <v>805</v>
      </c>
      <c r="B46" s="692"/>
      <c r="C46" s="692"/>
      <c r="D46" s="692"/>
      <c r="E46" s="692"/>
      <c r="F46" s="692"/>
      <c r="G46" s="692"/>
      <c r="H46" s="692"/>
      <c r="I46" s="692"/>
      <c r="J46" s="692"/>
      <c r="K46" s="692"/>
      <c r="L46" s="692"/>
      <c r="M46" s="692"/>
      <c r="N46" s="692"/>
      <c r="O46" s="692"/>
      <c r="P46" s="692"/>
    </row>
    <row r="47" spans="1:29" ht="11.25" customHeight="1"/>
    <row r="48" spans="1:29" ht="11.25" customHeight="1">
      <c r="C48" s="257"/>
    </row>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sheetData>
  <mergeCells count="17">
    <mergeCell ref="A1:P1"/>
    <mergeCell ref="A2:P2"/>
    <mergeCell ref="A4:P4"/>
    <mergeCell ref="A5:P5"/>
    <mergeCell ref="A3:P3"/>
    <mergeCell ref="A40:P40"/>
    <mergeCell ref="A35:P35"/>
    <mergeCell ref="A36:P36"/>
    <mergeCell ref="A37:P37"/>
    <mergeCell ref="A46:P46"/>
    <mergeCell ref="A38:P38"/>
    <mergeCell ref="A39:P39"/>
    <mergeCell ref="A41:P41"/>
    <mergeCell ref="A42:P42"/>
    <mergeCell ref="A43:P43"/>
    <mergeCell ref="A44:P44"/>
    <mergeCell ref="A45:P45"/>
  </mergeCells>
  <pageMargins left="0.5" right="0.5" top="0.75" bottom="0.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7"/>
  <sheetViews>
    <sheetView workbookViewId="0">
      <selection activeCell="A31" sqref="A31:E31"/>
    </sheetView>
  </sheetViews>
  <sheetFormatPr defaultRowHeight="14"/>
  <cols>
    <col min="1" max="1" width="59.7265625" customWidth="1"/>
    <col min="2" max="2" width="1.7265625" customWidth="1"/>
    <col min="3" max="3" width="10.7265625" customWidth="1"/>
    <col min="4" max="4" width="1.7265625" customWidth="1"/>
    <col min="5" max="5" width="10.7265625" customWidth="1"/>
  </cols>
  <sheetData>
    <row r="1" spans="1:6" ht="11.25" customHeight="1">
      <c r="A1" s="779" t="s">
        <v>179</v>
      </c>
      <c r="B1" s="691"/>
      <c r="C1" s="691"/>
      <c r="D1" s="691"/>
      <c r="E1" s="691"/>
      <c r="F1" s="121"/>
    </row>
    <row r="2" spans="1:6" ht="11.25" customHeight="1">
      <c r="A2" s="779" t="s">
        <v>520</v>
      </c>
      <c r="B2" s="691"/>
      <c r="C2" s="691"/>
      <c r="D2" s="691"/>
      <c r="E2" s="691"/>
      <c r="F2" s="121"/>
    </row>
    <row r="3" spans="1:6" ht="11.25" customHeight="1">
      <c r="A3" s="698"/>
      <c r="B3" s="691"/>
      <c r="C3" s="691"/>
      <c r="D3" s="691"/>
      <c r="E3" s="691"/>
      <c r="F3" s="17"/>
    </row>
    <row r="4" spans="1:6" ht="11.25" customHeight="1">
      <c r="A4" s="779" t="s">
        <v>80</v>
      </c>
      <c r="B4" s="691"/>
      <c r="C4" s="691"/>
      <c r="D4" s="691"/>
      <c r="E4" s="691"/>
      <c r="F4" s="121"/>
    </row>
    <row r="5" spans="1:6" ht="11.25" customHeight="1">
      <c r="A5" s="780"/>
      <c r="B5" s="781"/>
      <c r="C5" s="781"/>
      <c r="D5" s="781"/>
      <c r="E5" s="781"/>
    </row>
    <row r="6" spans="1:6" ht="11.25" customHeight="1">
      <c r="A6" s="188" t="s">
        <v>180</v>
      </c>
      <c r="B6" s="60"/>
      <c r="C6" s="365" t="s">
        <v>533</v>
      </c>
      <c r="D6" s="365"/>
      <c r="E6" s="365" t="s">
        <v>724</v>
      </c>
    </row>
    <row r="7" spans="1:6" ht="11.25" customHeight="1">
      <c r="A7" s="189" t="s">
        <v>181</v>
      </c>
      <c r="B7" s="18"/>
      <c r="C7" s="5">
        <v>59400</v>
      </c>
      <c r="D7" s="5"/>
      <c r="E7" s="5">
        <v>36000</v>
      </c>
    </row>
    <row r="8" spans="1:6" ht="11.25" customHeight="1">
      <c r="A8" s="190" t="s">
        <v>182</v>
      </c>
      <c r="B8" s="18"/>
      <c r="C8" s="5">
        <v>2820</v>
      </c>
      <c r="D8" s="5"/>
      <c r="E8" s="5">
        <v>2520</v>
      </c>
    </row>
    <row r="9" spans="1:6" ht="11.25" customHeight="1">
      <c r="A9" s="190" t="s">
        <v>504</v>
      </c>
      <c r="B9" s="18"/>
      <c r="C9" s="5">
        <v>16300</v>
      </c>
      <c r="D9" s="5"/>
      <c r="E9" s="5">
        <v>13100</v>
      </c>
      <c r="F9" s="19"/>
    </row>
    <row r="10" spans="1:6" ht="11.25" customHeight="1">
      <c r="A10" s="190" t="s">
        <v>183</v>
      </c>
      <c r="B10" s="18"/>
      <c r="C10" s="5">
        <v>98</v>
      </c>
      <c r="D10" s="5"/>
      <c r="E10" s="5">
        <v>79</v>
      </c>
      <c r="F10" s="19"/>
    </row>
    <row r="11" spans="1:6" ht="11.25" customHeight="1">
      <c r="A11" s="190" t="s">
        <v>184</v>
      </c>
      <c r="B11" s="18"/>
      <c r="C11" s="5">
        <v>1710</v>
      </c>
      <c r="D11" s="5"/>
      <c r="E11" s="5">
        <v>1740</v>
      </c>
      <c r="F11" s="19"/>
    </row>
    <row r="12" spans="1:6" ht="11.25" customHeight="1">
      <c r="A12" s="190" t="s">
        <v>185</v>
      </c>
      <c r="B12" s="18"/>
      <c r="C12" s="296">
        <v>1290</v>
      </c>
      <c r="D12" s="296"/>
      <c r="E12" s="296">
        <v>1270</v>
      </c>
      <c r="F12" s="19"/>
    </row>
    <row r="13" spans="1:6" ht="11.25" customHeight="1">
      <c r="A13" s="190" t="s">
        <v>186</v>
      </c>
      <c r="B13" s="18"/>
      <c r="C13" s="5"/>
      <c r="D13" s="5"/>
      <c r="E13" s="5"/>
      <c r="F13" s="19"/>
    </row>
    <row r="14" spans="1:6" ht="11.25" customHeight="1">
      <c r="A14" s="191" t="s">
        <v>187</v>
      </c>
      <c r="B14" s="18"/>
      <c r="C14" s="5">
        <v>107</v>
      </c>
      <c r="D14" s="5"/>
      <c r="E14" s="5">
        <v>112</v>
      </c>
      <c r="F14" s="19"/>
    </row>
    <row r="15" spans="1:6" ht="11.25" customHeight="1">
      <c r="A15" s="191" t="s">
        <v>188</v>
      </c>
      <c r="B15" s="18"/>
      <c r="C15" s="5">
        <v>1150</v>
      </c>
      <c r="D15" s="5"/>
      <c r="E15" s="5">
        <v>626</v>
      </c>
      <c r="F15" s="19"/>
    </row>
    <row r="16" spans="1:6" ht="11.25" customHeight="1">
      <c r="A16" s="191" t="s">
        <v>189</v>
      </c>
      <c r="B16" s="18"/>
      <c r="C16" s="5">
        <v>190</v>
      </c>
      <c r="D16" s="5"/>
      <c r="E16" s="5">
        <v>221</v>
      </c>
      <c r="F16" s="19"/>
    </row>
    <row r="17" spans="1:6" ht="11.25" customHeight="1">
      <c r="A17" s="494" t="s">
        <v>526</v>
      </c>
      <c r="B17" s="18"/>
      <c r="C17" s="5">
        <v>24500</v>
      </c>
      <c r="D17" s="405">
        <v>9</v>
      </c>
      <c r="E17" s="5">
        <v>51100</v>
      </c>
      <c r="F17" s="19"/>
    </row>
    <row r="18" spans="1:6" ht="11.25" customHeight="1">
      <c r="A18" s="192" t="s">
        <v>713</v>
      </c>
      <c r="B18" s="18"/>
      <c r="C18" s="453">
        <v>350</v>
      </c>
      <c r="D18" s="453"/>
      <c r="E18" s="453">
        <v>400</v>
      </c>
      <c r="F18" s="19"/>
    </row>
    <row r="19" spans="1:6" ht="11.25" customHeight="1">
      <c r="A19" s="193" t="s">
        <v>712</v>
      </c>
      <c r="B19" s="18"/>
      <c r="C19" s="5">
        <v>26300</v>
      </c>
      <c r="D19" s="5"/>
      <c r="E19" s="5">
        <v>52400</v>
      </c>
      <c r="F19" s="19"/>
    </row>
    <row r="20" spans="1:6" ht="11.25" customHeight="1">
      <c r="A20" s="190" t="s">
        <v>190</v>
      </c>
      <c r="B20" s="18"/>
      <c r="C20" s="122" t="s">
        <v>25</v>
      </c>
      <c r="D20" s="122"/>
      <c r="E20" s="122" t="s">
        <v>25</v>
      </c>
      <c r="F20" s="20"/>
    </row>
    <row r="21" spans="1:6" ht="11.25" customHeight="1">
      <c r="A21" s="190" t="s">
        <v>711</v>
      </c>
      <c r="B21" s="18"/>
      <c r="C21" s="296">
        <v>200</v>
      </c>
      <c r="D21" s="296"/>
      <c r="E21" s="296">
        <v>90</v>
      </c>
      <c r="F21" s="20"/>
    </row>
    <row r="22" spans="1:6" ht="11.25" customHeight="1">
      <c r="A22" s="194" t="s">
        <v>710</v>
      </c>
      <c r="B22" s="56"/>
      <c r="C22" s="453">
        <v>108000</v>
      </c>
      <c r="D22" s="453"/>
      <c r="E22" s="453">
        <v>107000</v>
      </c>
      <c r="F22" s="19"/>
    </row>
    <row r="23" spans="1:6" ht="11.25" customHeight="1">
      <c r="A23" s="778" t="s">
        <v>57</v>
      </c>
      <c r="B23" s="702"/>
      <c r="C23" s="702"/>
      <c r="D23" s="702"/>
      <c r="E23" s="763"/>
      <c r="F23" s="19"/>
    </row>
    <row r="24" spans="1:6" ht="11.25" customHeight="1">
      <c r="A24" s="692" t="s">
        <v>831</v>
      </c>
      <c r="B24" s="699"/>
      <c r="C24" s="699"/>
      <c r="D24" s="699"/>
      <c r="E24" s="699"/>
      <c r="F24" s="17"/>
    </row>
    <row r="25" spans="1:6" ht="11.25" customHeight="1">
      <c r="A25" s="692" t="s">
        <v>132</v>
      </c>
      <c r="B25" s="699"/>
      <c r="C25" s="699"/>
      <c r="D25" s="699"/>
      <c r="E25" s="699"/>
      <c r="F25" s="17"/>
    </row>
    <row r="26" spans="1:6" ht="11.25" customHeight="1">
      <c r="A26" s="692" t="s">
        <v>191</v>
      </c>
      <c r="B26" s="699"/>
      <c r="C26" s="699"/>
      <c r="D26" s="699"/>
      <c r="E26" s="699"/>
      <c r="F26" s="17"/>
    </row>
    <row r="27" spans="1:6" ht="11.25" customHeight="1">
      <c r="A27" s="695" t="s">
        <v>531</v>
      </c>
      <c r="B27" s="695"/>
      <c r="C27" s="695"/>
      <c r="D27" s="695"/>
      <c r="E27" s="695"/>
      <c r="F27" s="17"/>
    </row>
    <row r="28" spans="1:6" s="124" customFormat="1" ht="11.25" customHeight="1">
      <c r="A28" s="692" t="s">
        <v>532</v>
      </c>
      <c r="B28" s="692"/>
      <c r="C28" s="692"/>
      <c r="D28" s="692"/>
      <c r="E28" s="692"/>
      <c r="F28" s="653"/>
    </row>
    <row r="29" spans="1:6" ht="11.25" customHeight="1">
      <c r="A29" s="692" t="s">
        <v>192</v>
      </c>
      <c r="B29" s="699"/>
      <c r="C29" s="699"/>
      <c r="D29" s="699"/>
      <c r="E29" s="699"/>
      <c r="F29" s="21"/>
    </row>
    <row r="30" spans="1:6" ht="11.25" customHeight="1">
      <c r="A30" s="692" t="s">
        <v>372</v>
      </c>
      <c r="B30" s="699"/>
      <c r="C30" s="699"/>
      <c r="D30" s="699"/>
      <c r="E30" s="699"/>
      <c r="F30" s="47"/>
    </row>
    <row r="31" spans="1:6" ht="11.25" customHeight="1">
      <c r="A31" s="692" t="s">
        <v>193</v>
      </c>
      <c r="B31" s="699"/>
      <c r="C31" s="699"/>
      <c r="D31" s="699"/>
      <c r="E31" s="699"/>
      <c r="F31" s="17"/>
    </row>
    <row r="32" spans="1:6" ht="11.25" customHeight="1">
      <c r="A32" s="777" t="s">
        <v>808</v>
      </c>
      <c r="B32" s="699"/>
      <c r="C32" s="699"/>
      <c r="D32" s="699"/>
      <c r="E32" s="699"/>
      <c r="F32" s="17"/>
    </row>
    <row r="33" spans="1:6" s="124" customFormat="1" ht="11.25" customHeight="1">
      <c r="A33" s="692" t="s">
        <v>807</v>
      </c>
      <c r="B33" s="692"/>
      <c r="C33" s="692"/>
      <c r="D33" s="692"/>
      <c r="E33" s="692"/>
      <c r="F33" s="125"/>
    </row>
    <row r="34" spans="1:6" ht="11.25" customHeight="1">
      <c r="A34" s="692" t="s">
        <v>708</v>
      </c>
      <c r="B34" s="699"/>
      <c r="C34" s="699"/>
      <c r="D34" s="699"/>
      <c r="E34" s="699"/>
      <c r="F34" s="17"/>
    </row>
    <row r="35" spans="1:6" ht="11.25" customHeight="1">
      <c r="A35" s="692" t="s">
        <v>709</v>
      </c>
      <c r="B35" s="699"/>
      <c r="C35" s="699"/>
      <c r="D35" s="699"/>
      <c r="E35" s="699"/>
      <c r="F35" s="17"/>
    </row>
    <row r="36" spans="1:6" ht="11.25" customHeight="1">
      <c r="C36" s="257"/>
    </row>
    <row r="37" spans="1:6" ht="11.25" customHeight="1"/>
  </sheetData>
  <mergeCells count="18">
    <mergeCell ref="A23:E23"/>
    <mergeCell ref="A25:E25"/>
    <mergeCell ref="A1:E1"/>
    <mergeCell ref="A2:E2"/>
    <mergeCell ref="A3:E3"/>
    <mergeCell ref="A4:E4"/>
    <mergeCell ref="A5:E5"/>
    <mergeCell ref="A24:E24"/>
    <mergeCell ref="A31:E31"/>
    <mergeCell ref="A33:E33"/>
    <mergeCell ref="A34:E34"/>
    <mergeCell ref="A35:E35"/>
    <mergeCell ref="A26:E26"/>
    <mergeCell ref="A27:E27"/>
    <mergeCell ref="A28:E28"/>
    <mergeCell ref="A29:E29"/>
    <mergeCell ref="A30:E30"/>
    <mergeCell ref="A32:E32"/>
  </mergeCells>
  <pageMargins left="0.5" right="0.5" top="0.75" bottom="0.5" header="0.3" footer="0.3"/>
  <pageSetup orientation="portrait" horizontalDpi="4294967295" verticalDpi="4294967295"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53"/>
  <sheetViews>
    <sheetView zoomScaleNormal="100" zoomScaleSheetLayoutView="100" workbookViewId="0">
      <selection activeCell="M44" sqref="M44"/>
    </sheetView>
  </sheetViews>
  <sheetFormatPr defaultColWidth="9.1796875" defaultRowHeight="10.5"/>
  <cols>
    <col min="1" max="1" width="27.1796875" style="3" bestFit="1" customWidth="1"/>
    <col min="2" max="2" width="1.7265625" style="3" customWidth="1"/>
    <col min="3" max="3" width="9.7265625" style="3" customWidth="1"/>
    <col min="4" max="4" width="1.7265625" style="3" customWidth="1"/>
    <col min="5" max="5" width="9.7265625" style="3" customWidth="1"/>
    <col min="6" max="7" width="1.7265625" style="3" customWidth="1"/>
    <col min="8" max="8" width="9.7265625" style="3" customWidth="1"/>
    <col min="9" max="9" width="1.7265625" style="3" customWidth="1"/>
    <col min="10" max="10" width="9.7265625" style="3" customWidth="1"/>
    <col min="11" max="11" width="9.54296875" style="3" bestFit="1" customWidth="1"/>
    <col min="12" max="16384" width="9.1796875" style="3"/>
  </cols>
  <sheetData>
    <row r="1" spans="1:11" ht="11.25" customHeight="1">
      <c r="A1" s="745" t="s">
        <v>280</v>
      </c>
      <c r="B1" s="745"/>
      <c r="C1" s="745"/>
      <c r="D1" s="745"/>
      <c r="E1" s="745"/>
      <c r="F1" s="745"/>
      <c r="G1" s="745"/>
      <c r="H1" s="745"/>
      <c r="I1" s="745"/>
      <c r="J1" s="745"/>
    </row>
    <row r="2" spans="1:11" ht="11.25" customHeight="1">
      <c r="A2" s="745" t="s">
        <v>401</v>
      </c>
      <c r="B2" s="745"/>
      <c r="C2" s="745"/>
      <c r="D2" s="745"/>
      <c r="E2" s="745"/>
      <c r="F2" s="745"/>
      <c r="G2" s="745"/>
      <c r="H2" s="745"/>
      <c r="I2" s="745"/>
      <c r="J2" s="745"/>
    </row>
    <row r="3" spans="1:11" ht="11.25" customHeight="1">
      <c r="A3" s="745" t="s">
        <v>281</v>
      </c>
      <c r="B3" s="745"/>
      <c r="C3" s="745"/>
      <c r="D3" s="745"/>
      <c r="E3" s="745"/>
      <c r="F3" s="745"/>
      <c r="G3" s="745"/>
      <c r="H3" s="745"/>
      <c r="I3" s="745"/>
      <c r="J3" s="745"/>
    </row>
    <row r="4" spans="1:11" ht="11.25" customHeight="1">
      <c r="A4" s="784"/>
      <c r="B4" s="785"/>
      <c r="C4" s="785"/>
      <c r="D4" s="785"/>
      <c r="E4" s="785"/>
      <c r="F4" s="785"/>
      <c r="G4" s="786"/>
      <c r="H4" s="785"/>
      <c r="I4" s="785"/>
      <c r="J4" s="785"/>
    </row>
    <row r="5" spans="1:11" ht="11.25" customHeight="1">
      <c r="A5" s="155"/>
      <c r="B5" s="155"/>
      <c r="C5" s="787" t="s">
        <v>533</v>
      </c>
      <c r="D5" s="787"/>
      <c r="E5" s="787"/>
      <c r="F5" s="788"/>
      <c r="G5" s="155"/>
      <c r="H5" s="783" t="s">
        <v>724</v>
      </c>
      <c r="I5" s="783"/>
      <c r="J5" s="783"/>
    </row>
    <row r="6" spans="1:11" ht="12.5">
      <c r="A6" s="195" t="s">
        <v>386</v>
      </c>
      <c r="B6" s="195"/>
      <c r="C6" s="195" t="s">
        <v>62</v>
      </c>
      <c r="D6" s="195"/>
      <c r="E6" s="195" t="s">
        <v>355</v>
      </c>
      <c r="F6" s="195"/>
      <c r="G6" s="256"/>
      <c r="H6" s="366" t="s">
        <v>62</v>
      </c>
      <c r="I6" s="366"/>
      <c r="J6" s="366" t="s">
        <v>355</v>
      </c>
    </row>
    <row r="7" spans="1:11">
      <c r="A7" s="196" t="s">
        <v>373</v>
      </c>
      <c r="B7" s="230"/>
      <c r="C7" s="35">
        <v>1</v>
      </c>
      <c r="E7" s="35">
        <v>269</v>
      </c>
      <c r="F7" s="230"/>
      <c r="G7" s="230"/>
      <c r="H7" s="61" t="s">
        <v>469</v>
      </c>
      <c r="J7" s="35">
        <v>205</v>
      </c>
      <c r="K7" s="408"/>
    </row>
    <row r="8" spans="1:11" ht="12.5">
      <c r="A8" s="196" t="s">
        <v>282</v>
      </c>
      <c r="C8" s="35">
        <v>1</v>
      </c>
      <c r="E8" s="35">
        <v>991</v>
      </c>
      <c r="F8" s="42"/>
      <c r="G8" s="42"/>
      <c r="H8" s="35">
        <v>2</v>
      </c>
      <c r="J8" s="35">
        <v>1215</v>
      </c>
      <c r="K8" s="408"/>
    </row>
    <row r="9" spans="1:11" ht="12.5">
      <c r="A9" s="196" t="s">
        <v>505</v>
      </c>
      <c r="C9" s="35">
        <v>40</v>
      </c>
      <c r="E9" s="35">
        <v>8106</v>
      </c>
      <c r="F9" s="42"/>
      <c r="G9" s="42"/>
      <c r="H9" s="35">
        <v>32</v>
      </c>
      <c r="J9" s="35">
        <v>7244</v>
      </c>
      <c r="K9" s="408"/>
    </row>
    <row r="10" spans="1:11" ht="12.5">
      <c r="A10" s="571" t="s">
        <v>729</v>
      </c>
      <c r="C10" s="61" t="s">
        <v>469</v>
      </c>
      <c r="E10" s="35">
        <v>229</v>
      </c>
      <c r="F10" s="42"/>
      <c r="G10" s="42"/>
      <c r="H10" s="35">
        <v>1</v>
      </c>
      <c r="J10" s="35">
        <v>290</v>
      </c>
      <c r="K10" s="408"/>
    </row>
    <row r="11" spans="1:11" ht="12.5">
      <c r="A11" s="407" t="s">
        <v>283</v>
      </c>
      <c r="C11" s="61" t="s">
        <v>469</v>
      </c>
      <c r="E11" s="35">
        <v>132</v>
      </c>
      <c r="F11" s="42"/>
      <c r="G11" s="42"/>
      <c r="H11" s="35">
        <v>1</v>
      </c>
      <c r="J11" s="35">
        <v>258</v>
      </c>
      <c r="K11" s="408"/>
    </row>
    <row r="12" spans="1:11" ht="12.5">
      <c r="A12" s="196" t="s">
        <v>284</v>
      </c>
      <c r="C12" s="35">
        <v>796</v>
      </c>
      <c r="D12" s="95" t="s">
        <v>542</v>
      </c>
      <c r="E12" s="35">
        <v>108772</v>
      </c>
      <c r="F12" s="95"/>
      <c r="G12" s="42"/>
      <c r="H12" s="35">
        <v>775</v>
      </c>
      <c r="J12" s="35">
        <v>123511</v>
      </c>
      <c r="K12" s="408"/>
    </row>
    <row r="13" spans="1:11" ht="12.5">
      <c r="A13" s="196" t="s">
        <v>285</v>
      </c>
      <c r="C13" s="35">
        <v>7</v>
      </c>
      <c r="E13" s="35">
        <v>1116</v>
      </c>
      <c r="F13" s="42"/>
      <c r="G13" s="42"/>
      <c r="H13" s="35">
        <v>1</v>
      </c>
      <c r="J13" s="35">
        <v>842</v>
      </c>
      <c r="K13" s="408"/>
    </row>
    <row r="14" spans="1:11" ht="12.5">
      <c r="A14" s="196" t="s">
        <v>286</v>
      </c>
      <c r="C14" s="61" t="s">
        <v>469</v>
      </c>
      <c r="E14" s="35">
        <v>255</v>
      </c>
      <c r="F14" s="42"/>
      <c r="G14" s="42"/>
      <c r="H14" s="35">
        <v>2</v>
      </c>
      <c r="J14" s="35">
        <v>578</v>
      </c>
      <c r="K14" s="408"/>
    </row>
    <row r="15" spans="1:11" ht="12.5">
      <c r="A15" s="196" t="s">
        <v>467</v>
      </c>
      <c r="C15" s="61" t="s">
        <v>469</v>
      </c>
      <c r="E15" s="35">
        <v>112</v>
      </c>
      <c r="F15" s="95"/>
      <c r="G15" s="42"/>
      <c r="H15" s="35">
        <v>1</v>
      </c>
      <c r="J15" s="35">
        <v>220</v>
      </c>
      <c r="K15" s="408"/>
    </row>
    <row r="16" spans="1:11" ht="12.5">
      <c r="A16" s="196" t="s">
        <v>288</v>
      </c>
      <c r="C16" s="35">
        <v>3</v>
      </c>
      <c r="E16" s="35">
        <v>1525</v>
      </c>
      <c r="F16" s="95"/>
      <c r="G16" s="42"/>
      <c r="H16" s="35">
        <v>2</v>
      </c>
      <c r="J16" s="35">
        <v>845</v>
      </c>
      <c r="K16" s="408"/>
    </row>
    <row r="17" spans="1:11" ht="12.5">
      <c r="A17" s="571" t="s">
        <v>601</v>
      </c>
      <c r="C17" s="61" t="s">
        <v>469</v>
      </c>
      <c r="E17" s="35">
        <v>103</v>
      </c>
      <c r="F17" s="95"/>
      <c r="G17" s="42"/>
      <c r="H17" s="35">
        <v>2</v>
      </c>
      <c r="J17" s="35">
        <v>302</v>
      </c>
      <c r="K17" s="408"/>
    </row>
    <row r="18" spans="1:11" ht="12.5">
      <c r="A18" s="571" t="s">
        <v>608</v>
      </c>
      <c r="C18" s="61" t="s">
        <v>469</v>
      </c>
      <c r="E18" s="35">
        <v>289</v>
      </c>
      <c r="F18" s="95"/>
      <c r="G18" s="42"/>
      <c r="H18" s="61" t="s">
        <v>469</v>
      </c>
      <c r="J18" s="35">
        <v>274</v>
      </c>
      <c r="K18" s="408"/>
    </row>
    <row r="19" spans="1:11" ht="12.5">
      <c r="A19" s="196" t="s">
        <v>290</v>
      </c>
      <c r="C19" s="35">
        <v>1</v>
      </c>
      <c r="E19" s="35">
        <v>281</v>
      </c>
      <c r="F19" s="42"/>
      <c r="G19" s="42"/>
      <c r="H19" s="35">
        <v>1</v>
      </c>
      <c r="J19" s="35">
        <v>354</v>
      </c>
      <c r="K19" s="408"/>
    </row>
    <row r="20" spans="1:11" ht="12.5">
      <c r="A20" s="196" t="s">
        <v>291</v>
      </c>
      <c r="C20" s="35">
        <v>2</v>
      </c>
      <c r="E20" s="35">
        <v>416</v>
      </c>
      <c r="F20" s="42"/>
      <c r="G20" s="42"/>
      <c r="H20" s="35">
        <v>1</v>
      </c>
      <c r="J20" s="35">
        <v>193</v>
      </c>
      <c r="K20" s="408"/>
    </row>
    <row r="21" spans="1:11" ht="12.5">
      <c r="A21" s="98" t="s">
        <v>292</v>
      </c>
      <c r="C21" s="61" t="s">
        <v>469</v>
      </c>
      <c r="E21" s="35">
        <v>152</v>
      </c>
      <c r="F21" s="42"/>
      <c r="G21" s="42"/>
      <c r="H21" s="61" t="s">
        <v>469</v>
      </c>
      <c r="J21" s="35">
        <v>137</v>
      </c>
      <c r="K21" s="408"/>
    </row>
    <row r="22" spans="1:11" ht="12.5">
      <c r="A22" s="196" t="s">
        <v>293</v>
      </c>
      <c r="C22" s="35">
        <v>40</v>
      </c>
      <c r="E22" s="35">
        <v>11176</v>
      </c>
      <c r="F22" s="95"/>
      <c r="G22" s="42"/>
      <c r="H22" s="35">
        <v>54</v>
      </c>
      <c r="J22" s="35">
        <v>16393</v>
      </c>
      <c r="K22" s="408"/>
    </row>
    <row r="23" spans="1:11" ht="12.5">
      <c r="A23" s="280" t="s">
        <v>730</v>
      </c>
      <c r="C23" s="61" t="s">
        <v>469</v>
      </c>
      <c r="E23" s="35">
        <v>54</v>
      </c>
      <c r="F23" s="42"/>
      <c r="G23" s="42"/>
      <c r="H23" s="35">
        <v>1</v>
      </c>
      <c r="J23" s="35">
        <v>558</v>
      </c>
      <c r="K23" s="408"/>
    </row>
    <row r="24" spans="1:11" ht="12.5">
      <c r="A24" s="196" t="s">
        <v>294</v>
      </c>
      <c r="C24" s="35">
        <v>1</v>
      </c>
      <c r="E24" s="35">
        <v>541</v>
      </c>
      <c r="F24" s="42"/>
      <c r="G24" s="42"/>
      <c r="H24" s="35">
        <v>1</v>
      </c>
      <c r="J24" s="35">
        <v>665</v>
      </c>
      <c r="K24" s="408"/>
    </row>
    <row r="25" spans="1:11" ht="12.5">
      <c r="A25" s="571" t="s">
        <v>539</v>
      </c>
      <c r="C25" s="35">
        <v>1</v>
      </c>
      <c r="E25" s="35">
        <v>502</v>
      </c>
      <c r="F25" s="42"/>
      <c r="G25" s="42"/>
      <c r="H25" s="61" t="s">
        <v>469</v>
      </c>
      <c r="J25" s="35">
        <v>54</v>
      </c>
      <c r="K25" s="408"/>
    </row>
    <row r="26" spans="1:11" ht="11.25" customHeight="1">
      <c r="A26" s="407" t="s">
        <v>503</v>
      </c>
      <c r="C26" s="35">
        <v>1</v>
      </c>
      <c r="E26" s="35">
        <v>228</v>
      </c>
      <c r="F26" s="42"/>
      <c r="G26" s="42"/>
      <c r="H26" s="61" t="s">
        <v>469</v>
      </c>
      <c r="J26" s="35">
        <v>206</v>
      </c>
      <c r="K26" s="408"/>
    </row>
    <row r="27" spans="1:11" ht="11.25" customHeight="1">
      <c r="A27" s="571" t="s">
        <v>296</v>
      </c>
      <c r="C27" s="35">
        <v>1</v>
      </c>
      <c r="E27" s="35">
        <v>296</v>
      </c>
      <c r="F27" s="42"/>
      <c r="G27" s="42"/>
      <c r="H27" s="61" t="s">
        <v>469</v>
      </c>
      <c r="J27" s="35">
        <v>245</v>
      </c>
      <c r="K27" s="408"/>
    </row>
    <row r="28" spans="1:11" ht="12.5">
      <c r="A28" s="196" t="s">
        <v>297</v>
      </c>
      <c r="C28" s="35">
        <v>1</v>
      </c>
      <c r="E28" s="35">
        <v>248</v>
      </c>
      <c r="F28" s="42"/>
      <c r="G28" s="42"/>
      <c r="H28" s="35">
        <v>1</v>
      </c>
      <c r="J28" s="35">
        <v>147</v>
      </c>
      <c r="K28" s="408"/>
    </row>
    <row r="29" spans="1:11" ht="12.5">
      <c r="A29" s="407" t="s">
        <v>298</v>
      </c>
      <c r="C29" s="35">
        <v>1</v>
      </c>
      <c r="E29" s="35">
        <v>260</v>
      </c>
      <c r="F29" s="42"/>
      <c r="G29" s="42"/>
      <c r="H29" s="35">
        <v>2</v>
      </c>
      <c r="J29" s="35">
        <v>1062</v>
      </c>
      <c r="K29" s="408"/>
    </row>
    <row r="30" spans="1:11" ht="12.5">
      <c r="A30" s="196" t="s">
        <v>299</v>
      </c>
      <c r="C30" s="61" t="s">
        <v>469</v>
      </c>
      <c r="E30" s="35">
        <v>32</v>
      </c>
      <c r="F30" s="42"/>
      <c r="G30" s="42"/>
      <c r="H30" s="35">
        <v>1</v>
      </c>
      <c r="J30" s="35">
        <v>690</v>
      </c>
      <c r="K30" s="408"/>
    </row>
    <row r="31" spans="1:11" ht="12.5">
      <c r="A31" s="99" t="s">
        <v>728</v>
      </c>
      <c r="C31" s="35">
        <v>4</v>
      </c>
      <c r="D31" s="95" t="s">
        <v>542</v>
      </c>
      <c r="E31" s="35">
        <v>3194</v>
      </c>
      <c r="F31" s="95" t="s">
        <v>542</v>
      </c>
      <c r="G31" s="42"/>
      <c r="H31" s="35">
        <v>7</v>
      </c>
      <c r="J31" s="35">
        <v>3899</v>
      </c>
      <c r="K31" s="408"/>
    </row>
    <row r="32" spans="1:11" ht="12.5">
      <c r="A32" s="276" t="s">
        <v>460</v>
      </c>
      <c r="B32" s="131"/>
      <c r="C32" s="77">
        <v>902</v>
      </c>
      <c r="D32" s="84" t="s">
        <v>542</v>
      </c>
      <c r="E32" s="77">
        <v>139277</v>
      </c>
      <c r="F32" s="84" t="s">
        <v>542</v>
      </c>
      <c r="G32" s="79"/>
      <c r="H32" s="77">
        <v>889</v>
      </c>
      <c r="I32" s="84"/>
      <c r="J32" s="77">
        <v>160386</v>
      </c>
      <c r="K32" s="408"/>
    </row>
    <row r="33" spans="1:11">
      <c r="A33" s="196" t="s">
        <v>300</v>
      </c>
      <c r="B33" s="45"/>
      <c r="C33" s="28"/>
      <c r="D33" s="28"/>
      <c r="E33" s="28"/>
      <c r="F33" s="28"/>
      <c r="G33" s="28"/>
      <c r="H33" s="28"/>
      <c r="I33" s="28"/>
      <c r="J33" s="28"/>
      <c r="K33" s="408"/>
    </row>
    <row r="34" spans="1:11">
      <c r="A34" s="276" t="s">
        <v>540</v>
      </c>
      <c r="B34" s="45"/>
      <c r="C34" s="28">
        <v>1</v>
      </c>
      <c r="E34" s="28">
        <v>245</v>
      </c>
      <c r="F34" s="28"/>
      <c r="G34" s="28"/>
      <c r="H34" s="28">
        <v>2</v>
      </c>
      <c r="J34" s="28">
        <v>287</v>
      </c>
      <c r="K34" s="408"/>
    </row>
    <row r="35" spans="1:11">
      <c r="A35" s="276" t="s">
        <v>505</v>
      </c>
      <c r="B35" s="45"/>
      <c r="C35" s="28">
        <v>2</v>
      </c>
      <c r="E35" s="28">
        <v>315</v>
      </c>
      <c r="F35" s="28"/>
      <c r="G35" s="28"/>
      <c r="H35" s="28">
        <v>5</v>
      </c>
      <c r="J35" s="28">
        <v>1449</v>
      </c>
      <c r="K35" s="408"/>
    </row>
    <row r="36" spans="1:11" ht="12.5">
      <c r="A36" s="276" t="s">
        <v>377</v>
      </c>
      <c r="C36" s="71">
        <v>9</v>
      </c>
      <c r="E36" s="28">
        <v>1377</v>
      </c>
      <c r="F36" s="42"/>
      <c r="G36" s="42"/>
      <c r="H36" s="71">
        <v>10</v>
      </c>
      <c r="J36" s="28">
        <v>1457</v>
      </c>
      <c r="K36" s="408"/>
    </row>
    <row r="37" spans="1:11">
      <c r="A37" s="281" t="s">
        <v>294</v>
      </c>
      <c r="C37" s="61" t="s">
        <v>469</v>
      </c>
      <c r="E37" s="28">
        <v>24</v>
      </c>
      <c r="F37" s="105"/>
      <c r="G37" s="105"/>
      <c r="H37" s="71">
        <v>9</v>
      </c>
      <c r="J37" s="28">
        <v>5032</v>
      </c>
      <c r="K37" s="408"/>
    </row>
    <row r="38" spans="1:11">
      <c r="A38" s="281" t="s">
        <v>541</v>
      </c>
      <c r="C38" s="71">
        <v>11</v>
      </c>
      <c r="E38" s="28">
        <v>1219</v>
      </c>
      <c r="F38" s="105"/>
      <c r="G38" s="105"/>
      <c r="H38" s="71">
        <v>3</v>
      </c>
      <c r="J38" s="28">
        <v>586</v>
      </c>
      <c r="K38" s="408"/>
    </row>
    <row r="39" spans="1:11" ht="12.5">
      <c r="A39" s="387" t="s">
        <v>476</v>
      </c>
      <c r="B39" s="17"/>
      <c r="C39" s="35">
        <v>3</v>
      </c>
      <c r="D39" s="95" t="s">
        <v>542</v>
      </c>
      <c r="E39" s="28">
        <v>796</v>
      </c>
      <c r="F39" s="95" t="s">
        <v>542</v>
      </c>
      <c r="G39" s="42"/>
      <c r="H39" s="35">
        <v>2</v>
      </c>
      <c r="J39" s="28">
        <v>622</v>
      </c>
      <c r="K39" s="408"/>
    </row>
    <row r="40" spans="1:11" ht="12.5">
      <c r="A40" s="388" t="s">
        <v>460</v>
      </c>
      <c r="B40" s="131"/>
      <c r="C40" s="77">
        <v>27</v>
      </c>
      <c r="D40" s="79"/>
      <c r="E40" s="77">
        <v>3975</v>
      </c>
      <c r="F40" s="79"/>
      <c r="G40" s="79"/>
      <c r="H40" s="77">
        <v>30</v>
      </c>
      <c r="I40" s="79"/>
      <c r="J40" s="77">
        <v>9434</v>
      </c>
      <c r="K40" s="408"/>
    </row>
    <row r="41" spans="1:11" ht="11.25" customHeight="1">
      <c r="A41" s="389" t="s">
        <v>461</v>
      </c>
      <c r="B41" s="130"/>
      <c r="C41" s="337">
        <f>SUM(C32,C40)</f>
        <v>929</v>
      </c>
      <c r="D41" s="277" t="s">
        <v>542</v>
      </c>
      <c r="E41" s="337">
        <f>SUM(E32,E40)</f>
        <v>143252</v>
      </c>
      <c r="F41" s="95"/>
      <c r="G41" s="264"/>
      <c r="H41" s="337">
        <f>SUM(H32,H40)</f>
        <v>919</v>
      </c>
      <c r="I41" s="367"/>
      <c r="J41" s="337">
        <f>SUM(J32,J40)</f>
        <v>169820</v>
      </c>
      <c r="K41" s="408"/>
    </row>
    <row r="42" spans="1:11" ht="11.25" customHeight="1">
      <c r="A42" s="782" t="s">
        <v>741</v>
      </c>
      <c r="B42" s="702"/>
      <c r="C42" s="702"/>
      <c r="D42" s="699"/>
      <c r="E42" s="702"/>
      <c r="F42" s="702"/>
      <c r="G42" s="702"/>
      <c r="H42" s="702"/>
      <c r="I42" s="702"/>
      <c r="J42" s="702"/>
    </row>
    <row r="43" spans="1:11" ht="22.5" customHeight="1">
      <c r="A43" s="696" t="s">
        <v>742</v>
      </c>
      <c r="B43" s="700"/>
      <c r="C43" s="700"/>
      <c r="D43" s="700"/>
      <c r="E43" s="700"/>
      <c r="F43" s="700"/>
      <c r="G43" s="700"/>
      <c r="H43" s="700"/>
      <c r="I43" s="700"/>
      <c r="J43" s="700"/>
    </row>
    <row r="44" spans="1:11" ht="33.75" customHeight="1">
      <c r="A44" s="696" t="s">
        <v>462</v>
      </c>
      <c r="B44" s="700"/>
      <c r="C44" s="700"/>
      <c r="D44" s="700"/>
      <c r="E44" s="700"/>
      <c r="F44" s="700"/>
      <c r="G44" s="700"/>
      <c r="H44" s="700"/>
      <c r="I44" s="700"/>
      <c r="J44" s="700"/>
    </row>
    <row r="45" spans="1:11" ht="11.25" customHeight="1">
      <c r="A45" s="694" t="s">
        <v>402</v>
      </c>
      <c r="B45" s="699"/>
      <c r="C45" s="699"/>
      <c r="D45" s="699"/>
      <c r="E45" s="699"/>
      <c r="F45" s="699"/>
      <c r="G45" s="699"/>
      <c r="H45" s="699"/>
      <c r="I45" s="699"/>
      <c r="J45" s="699"/>
    </row>
    <row r="46" spans="1:11" ht="11.25" customHeight="1">
      <c r="A46" s="694" t="s">
        <v>376</v>
      </c>
      <c r="B46" s="699"/>
      <c r="C46" s="699"/>
      <c r="D46" s="699"/>
      <c r="E46" s="699"/>
      <c r="F46" s="699"/>
      <c r="G46" s="699"/>
      <c r="H46" s="699"/>
      <c r="I46" s="699"/>
      <c r="J46" s="699"/>
    </row>
    <row r="47" spans="1:11" ht="11.25" customHeight="1">
      <c r="A47" s="694"/>
      <c r="B47" s="699"/>
      <c r="C47" s="699"/>
      <c r="D47" s="699"/>
      <c r="E47" s="699"/>
      <c r="F47" s="699"/>
      <c r="G47" s="699"/>
      <c r="H47" s="699"/>
      <c r="I47" s="699"/>
      <c r="J47" s="699"/>
    </row>
    <row r="48" spans="1:11" ht="11.25" customHeight="1">
      <c r="A48" s="694" t="s">
        <v>301</v>
      </c>
      <c r="B48" s="699"/>
      <c r="C48" s="699"/>
      <c r="D48" s="699"/>
      <c r="E48" s="699"/>
      <c r="F48" s="699"/>
      <c r="G48" s="699"/>
      <c r="H48" s="699"/>
      <c r="I48" s="699"/>
      <c r="J48" s="699"/>
    </row>
    <row r="49" spans="3:10" ht="11.25" customHeight="1">
      <c r="C49" s="28"/>
      <c r="E49" s="28"/>
      <c r="F49" s="28"/>
      <c r="G49" s="28"/>
      <c r="H49" s="28"/>
      <c r="I49" s="28"/>
      <c r="J49" s="28"/>
    </row>
    <row r="50" spans="3:10" ht="11.25" customHeight="1">
      <c r="C50" s="28"/>
      <c r="E50" s="28"/>
      <c r="F50" s="28"/>
      <c r="G50" s="28"/>
      <c r="H50" s="28"/>
      <c r="I50" s="28"/>
      <c r="J50" s="28"/>
    </row>
    <row r="51" spans="3:10" ht="11.25" customHeight="1">
      <c r="C51" s="28"/>
      <c r="E51" s="28"/>
      <c r="F51" s="28"/>
      <c r="G51" s="28"/>
      <c r="H51" s="28"/>
      <c r="I51" s="28"/>
      <c r="J51" s="28"/>
    </row>
    <row r="52" spans="3:10">
      <c r="C52" s="28"/>
      <c r="E52" s="28"/>
      <c r="F52" s="28"/>
      <c r="G52" s="28"/>
      <c r="H52" s="28"/>
      <c r="I52" s="28"/>
      <c r="J52" s="28"/>
    </row>
    <row r="53" spans="3:10">
      <c r="C53" s="28"/>
      <c r="E53" s="28"/>
      <c r="F53" s="28"/>
      <c r="G53" s="28"/>
      <c r="H53" s="28"/>
      <c r="I53" s="28"/>
      <c r="J53" s="28"/>
    </row>
  </sheetData>
  <mergeCells count="13">
    <mergeCell ref="A1:J1"/>
    <mergeCell ref="A2:J2"/>
    <mergeCell ref="A3:J3"/>
    <mergeCell ref="H5:J5"/>
    <mergeCell ref="A4:J4"/>
    <mergeCell ref="C5:F5"/>
    <mergeCell ref="A47:J47"/>
    <mergeCell ref="A48:J48"/>
    <mergeCell ref="A42:J42"/>
    <mergeCell ref="A43:J43"/>
    <mergeCell ref="A44:J44"/>
    <mergeCell ref="A45:J45"/>
    <mergeCell ref="A46:J46"/>
  </mergeCells>
  <pageMargins left="0.5" right="0.5" top="0.75" bottom="0.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96"/>
  <sheetViews>
    <sheetView zoomScaleNormal="100" workbookViewId="0">
      <selection sqref="A1:N1"/>
    </sheetView>
  </sheetViews>
  <sheetFormatPr defaultRowHeight="14"/>
  <cols>
    <col min="1" max="1" width="27.7265625" customWidth="1"/>
    <col min="2" max="2" width="1.7265625" customWidth="1"/>
    <col min="3" max="3" width="8.7265625" customWidth="1"/>
    <col min="4" max="4" width="1.7265625" customWidth="1"/>
    <col min="5" max="5" width="8.7265625" customWidth="1"/>
    <col min="6" max="6" width="1.7265625" customWidth="1"/>
    <col min="7" max="7" width="8.7265625" customWidth="1"/>
    <col min="8" max="9" width="1.7265625" customWidth="1"/>
    <col min="10" max="10" width="8.7265625" customWidth="1"/>
    <col min="11" max="11" width="1.7265625" customWidth="1"/>
    <col min="12" max="12" width="8.7265625" customWidth="1"/>
    <col min="13" max="13" width="1.7265625" customWidth="1"/>
    <col min="14" max="14" width="8.7265625" customWidth="1"/>
    <col min="15" max="15" width="10" bestFit="1" customWidth="1"/>
  </cols>
  <sheetData>
    <row r="1" spans="1:15" ht="11.25" customHeight="1">
      <c r="A1" s="790" t="s">
        <v>302</v>
      </c>
      <c r="B1" s="790"/>
      <c r="C1" s="790"/>
      <c r="D1" s="790"/>
      <c r="E1" s="790"/>
      <c r="F1" s="790"/>
      <c r="G1" s="790"/>
      <c r="H1" s="790"/>
      <c r="I1" s="790"/>
      <c r="J1" s="790"/>
      <c r="K1" s="790"/>
      <c r="L1" s="790"/>
      <c r="M1" s="790"/>
      <c r="N1" s="790"/>
    </row>
    <row r="2" spans="1:15" ht="11.25" customHeight="1">
      <c r="A2" s="790" t="s">
        <v>403</v>
      </c>
      <c r="B2" s="790"/>
      <c r="C2" s="790"/>
      <c r="D2" s="790"/>
      <c r="E2" s="790"/>
      <c r="F2" s="790"/>
      <c r="G2" s="790"/>
      <c r="H2" s="790"/>
      <c r="I2" s="790"/>
      <c r="J2" s="790"/>
      <c r="K2" s="790"/>
      <c r="L2" s="790"/>
      <c r="M2" s="790"/>
      <c r="N2" s="790"/>
    </row>
    <row r="3" spans="1:15" ht="11.25" customHeight="1">
      <c r="A3" s="790"/>
      <c r="B3" s="790"/>
      <c r="C3" s="691"/>
      <c r="D3" s="691"/>
      <c r="E3" s="691"/>
      <c r="F3" s="691"/>
      <c r="G3" s="691"/>
      <c r="H3" s="691"/>
      <c r="I3" s="691"/>
      <c r="J3" s="691"/>
      <c r="K3" s="691"/>
      <c r="L3" s="691"/>
      <c r="M3" s="691"/>
      <c r="N3" s="691"/>
    </row>
    <row r="4" spans="1:15" ht="11.25" customHeight="1">
      <c r="A4" s="790" t="s">
        <v>281</v>
      </c>
      <c r="B4" s="790"/>
      <c r="C4" s="790"/>
      <c r="D4" s="790"/>
      <c r="E4" s="790"/>
      <c r="F4" s="790"/>
      <c r="G4" s="790"/>
      <c r="H4" s="790"/>
      <c r="I4" s="790"/>
      <c r="J4" s="790"/>
      <c r="K4" s="790"/>
      <c r="L4" s="790"/>
      <c r="M4" s="790"/>
      <c r="N4" s="790"/>
    </row>
    <row r="5" spans="1:15" ht="11.25" customHeight="1">
      <c r="A5" s="790"/>
      <c r="B5" s="790"/>
      <c r="C5" s="691"/>
      <c r="D5" s="691"/>
      <c r="E5" s="691"/>
      <c r="F5" s="691"/>
      <c r="G5" s="691"/>
      <c r="H5" s="691"/>
      <c r="I5" s="691"/>
      <c r="J5" s="691"/>
      <c r="K5" s="691"/>
      <c r="L5" s="691"/>
      <c r="M5" s="691"/>
      <c r="N5" s="691"/>
    </row>
    <row r="6" spans="1:15" ht="11.25" customHeight="1">
      <c r="A6" s="197"/>
      <c r="B6" s="233"/>
      <c r="C6" s="792" t="s">
        <v>533</v>
      </c>
      <c r="D6" s="793"/>
      <c r="E6" s="793"/>
      <c r="F6" s="793"/>
      <c r="G6" s="793"/>
      <c r="H6" s="793"/>
      <c r="I6" s="198"/>
      <c r="J6" s="789" t="s">
        <v>724</v>
      </c>
      <c r="K6" s="788"/>
      <c r="L6" s="788"/>
      <c r="M6" s="788"/>
      <c r="N6" s="788"/>
    </row>
    <row r="7" spans="1:15" ht="11.25" customHeight="1">
      <c r="A7" s="199"/>
      <c r="B7" s="199"/>
      <c r="C7" s="199"/>
      <c r="D7" s="531"/>
      <c r="E7" s="791" t="s">
        <v>303</v>
      </c>
      <c r="F7" s="791"/>
      <c r="G7" s="791"/>
      <c r="H7" s="295"/>
      <c r="I7" s="199"/>
      <c r="J7" s="200"/>
      <c r="K7" s="201"/>
      <c r="L7" s="789" t="s">
        <v>303</v>
      </c>
      <c r="M7" s="789"/>
      <c r="N7" s="789"/>
    </row>
    <row r="8" spans="1:15" ht="11.25" customHeight="1">
      <c r="A8" s="195" t="s">
        <v>386</v>
      </c>
      <c r="B8" s="528"/>
      <c r="C8" s="284" t="s">
        <v>62</v>
      </c>
      <c r="D8" s="285"/>
      <c r="E8" s="284" t="s">
        <v>304</v>
      </c>
      <c r="F8" s="285"/>
      <c r="G8" s="284" t="s">
        <v>305</v>
      </c>
      <c r="H8" s="203"/>
      <c r="I8" s="202"/>
      <c r="J8" s="284" t="s">
        <v>62</v>
      </c>
      <c r="K8" s="285"/>
      <c r="L8" s="284" t="s">
        <v>304</v>
      </c>
      <c r="M8" s="285"/>
      <c r="N8" s="284" t="s">
        <v>305</v>
      </c>
    </row>
    <row r="9" spans="1:15" ht="11.25" customHeight="1">
      <c r="A9" s="98" t="s">
        <v>486</v>
      </c>
      <c r="B9" s="99"/>
      <c r="C9" s="35">
        <v>173</v>
      </c>
      <c r="E9" s="35">
        <v>18162</v>
      </c>
      <c r="G9" s="35">
        <v>18262</v>
      </c>
      <c r="H9" s="134"/>
      <c r="I9" s="199"/>
      <c r="J9" s="35">
        <v>741</v>
      </c>
      <c r="L9" s="35">
        <v>70115</v>
      </c>
      <c r="N9" s="35">
        <v>71472</v>
      </c>
      <c r="O9" s="410"/>
    </row>
    <row r="10" spans="1:15" ht="11.25" customHeight="1">
      <c r="A10" s="98" t="s">
        <v>283</v>
      </c>
      <c r="B10" s="99"/>
      <c r="C10" s="35">
        <v>13</v>
      </c>
      <c r="E10" s="35">
        <v>6437</v>
      </c>
      <c r="G10" s="35">
        <v>6475</v>
      </c>
      <c r="H10" s="42"/>
      <c r="I10" s="29"/>
      <c r="J10" s="35">
        <v>6</v>
      </c>
      <c r="L10" s="35">
        <v>2516</v>
      </c>
      <c r="N10" s="35">
        <v>2536</v>
      </c>
      <c r="O10" s="410"/>
    </row>
    <row r="11" spans="1:15" ht="11.25" customHeight="1">
      <c r="A11" s="98" t="s">
        <v>306</v>
      </c>
      <c r="B11" s="99"/>
      <c r="C11" s="35">
        <v>4876</v>
      </c>
      <c r="E11" s="35">
        <v>500455</v>
      </c>
      <c r="F11" s="95" t="s">
        <v>542</v>
      </c>
      <c r="G11" s="35">
        <v>515503</v>
      </c>
      <c r="H11" s="95" t="s">
        <v>542</v>
      </c>
      <c r="I11" s="29"/>
      <c r="J11" s="35">
        <v>4967</v>
      </c>
      <c r="L11" s="35">
        <v>554127</v>
      </c>
      <c r="N11" s="35">
        <v>569410</v>
      </c>
      <c r="O11" s="410"/>
    </row>
    <row r="12" spans="1:15" ht="11.25" customHeight="1">
      <c r="A12" s="378" t="s">
        <v>287</v>
      </c>
      <c r="B12" s="99"/>
      <c r="C12" s="35">
        <v>2</v>
      </c>
      <c r="E12" s="35">
        <v>505</v>
      </c>
      <c r="G12" s="35">
        <v>533</v>
      </c>
      <c r="H12" s="95"/>
      <c r="I12" s="29"/>
      <c r="J12" s="35">
        <v>2</v>
      </c>
      <c r="L12" s="35">
        <v>706</v>
      </c>
      <c r="N12" s="35">
        <v>1386</v>
      </c>
      <c r="O12" s="410"/>
    </row>
    <row r="13" spans="1:15" ht="11.25" customHeight="1">
      <c r="A13" s="98" t="s">
        <v>467</v>
      </c>
      <c r="B13" s="99"/>
      <c r="C13" s="35">
        <v>390</v>
      </c>
      <c r="E13" s="35">
        <v>40088</v>
      </c>
      <c r="G13" s="35">
        <v>45259</v>
      </c>
      <c r="H13" s="42"/>
      <c r="I13" s="29"/>
      <c r="J13" s="35">
        <v>503</v>
      </c>
      <c r="L13" s="35">
        <v>35126</v>
      </c>
      <c r="N13" s="35">
        <v>53174</v>
      </c>
      <c r="O13" s="410"/>
    </row>
    <row r="14" spans="1:15" ht="11.25" customHeight="1">
      <c r="A14" s="98" t="s">
        <v>313</v>
      </c>
      <c r="B14" s="99"/>
      <c r="C14" s="35">
        <v>35</v>
      </c>
      <c r="E14" s="35">
        <v>12415</v>
      </c>
      <c r="G14" s="35">
        <v>16866</v>
      </c>
      <c r="H14" s="42"/>
      <c r="I14" s="29"/>
      <c r="J14" s="35">
        <v>31</v>
      </c>
      <c r="L14" s="35">
        <v>10631</v>
      </c>
      <c r="N14" s="35">
        <v>14084</v>
      </c>
      <c r="O14" s="410"/>
    </row>
    <row r="15" spans="1:15" ht="11.25" customHeight="1">
      <c r="A15" s="98" t="s">
        <v>315</v>
      </c>
      <c r="B15" s="99"/>
      <c r="C15" s="35">
        <v>459</v>
      </c>
      <c r="E15" s="35">
        <v>46973</v>
      </c>
      <c r="G15" s="35">
        <v>50982</v>
      </c>
      <c r="H15" s="42"/>
      <c r="I15" s="29"/>
      <c r="J15" s="35">
        <v>339</v>
      </c>
      <c r="L15" s="35">
        <v>39305</v>
      </c>
      <c r="N15" s="35">
        <v>41479</v>
      </c>
      <c r="O15" s="410"/>
    </row>
    <row r="16" spans="1:15" ht="11.25" customHeight="1">
      <c r="A16" s="98" t="s">
        <v>316</v>
      </c>
      <c r="B16" s="99"/>
      <c r="C16" s="35">
        <v>132</v>
      </c>
      <c r="E16" s="35">
        <v>49874</v>
      </c>
      <c r="G16" s="35">
        <v>51050</v>
      </c>
      <c r="H16" s="42"/>
      <c r="I16" s="29"/>
      <c r="J16" s="35">
        <v>106</v>
      </c>
      <c r="L16" s="35">
        <v>40210</v>
      </c>
      <c r="N16" s="35">
        <v>41465</v>
      </c>
      <c r="O16" s="410"/>
    </row>
    <row r="17" spans="1:15" ht="11.25" customHeight="1">
      <c r="A17" s="98" t="s">
        <v>317</v>
      </c>
      <c r="B17" s="99"/>
      <c r="C17" s="35">
        <v>2481</v>
      </c>
      <c r="E17" s="35">
        <v>145817</v>
      </c>
      <c r="G17" s="35">
        <v>183467</v>
      </c>
      <c r="H17" s="42"/>
      <c r="I17" s="29"/>
      <c r="J17" s="35">
        <v>2125</v>
      </c>
      <c r="L17" s="35">
        <v>156658</v>
      </c>
      <c r="N17" s="35">
        <v>187836</v>
      </c>
      <c r="O17" s="410"/>
    </row>
    <row r="18" spans="1:15" ht="11.25" customHeight="1">
      <c r="A18" s="378" t="s">
        <v>731</v>
      </c>
      <c r="B18" s="99"/>
      <c r="C18" s="267" t="s">
        <v>25</v>
      </c>
      <c r="E18" s="267" t="s">
        <v>25</v>
      </c>
      <c r="G18" s="267" t="s">
        <v>25</v>
      </c>
      <c r="H18" s="42"/>
      <c r="I18" s="29"/>
      <c r="J18" s="35">
        <v>50</v>
      </c>
      <c r="L18" s="35">
        <v>5224</v>
      </c>
      <c r="N18" s="35">
        <v>5249</v>
      </c>
      <c r="O18" s="410"/>
    </row>
    <row r="19" spans="1:15" ht="11.25" customHeight="1">
      <c r="A19" s="378" t="s">
        <v>732</v>
      </c>
      <c r="B19" s="99"/>
      <c r="C19" s="267" t="s">
        <v>25</v>
      </c>
      <c r="E19" s="267" t="s">
        <v>25</v>
      </c>
      <c r="G19" s="267" t="s">
        <v>25</v>
      </c>
      <c r="H19" s="42"/>
      <c r="I19" s="29"/>
      <c r="J19" s="35">
        <v>21</v>
      </c>
      <c r="L19" s="35">
        <v>2551</v>
      </c>
      <c r="N19" s="35">
        <v>2554</v>
      </c>
      <c r="O19" s="410"/>
    </row>
    <row r="20" spans="1:15" ht="11.25" customHeight="1">
      <c r="A20" s="98" t="s">
        <v>537</v>
      </c>
      <c r="B20" s="99"/>
      <c r="C20" s="35">
        <v>10</v>
      </c>
      <c r="E20" s="35">
        <v>2534</v>
      </c>
      <c r="G20" s="35">
        <v>2729</v>
      </c>
      <c r="H20" s="42"/>
      <c r="I20" s="29"/>
      <c r="J20" s="35">
        <v>153</v>
      </c>
      <c r="L20" s="35">
        <v>13014</v>
      </c>
      <c r="N20" s="35">
        <v>19591</v>
      </c>
      <c r="O20" s="410"/>
    </row>
    <row r="21" spans="1:15" ht="11.25" customHeight="1">
      <c r="A21" s="378" t="s">
        <v>291</v>
      </c>
      <c r="B21" s="99"/>
      <c r="C21" s="61" t="s">
        <v>543</v>
      </c>
      <c r="E21" s="35">
        <v>438</v>
      </c>
      <c r="G21" s="35">
        <v>559</v>
      </c>
      <c r="H21" s="42"/>
      <c r="I21" s="29"/>
      <c r="J21" s="61" t="s">
        <v>543</v>
      </c>
      <c r="L21" s="35">
        <v>356</v>
      </c>
      <c r="N21" s="35">
        <v>396</v>
      </c>
      <c r="O21" s="410"/>
    </row>
    <row r="22" spans="1:15" ht="11.25" customHeight="1">
      <c r="A22" s="98" t="s">
        <v>292</v>
      </c>
      <c r="B22" s="99"/>
      <c r="C22" s="35">
        <v>906</v>
      </c>
      <c r="E22" s="35">
        <v>50221</v>
      </c>
      <c r="G22" s="35">
        <v>77857</v>
      </c>
      <c r="H22" s="42"/>
      <c r="I22" s="29"/>
      <c r="J22" s="35">
        <v>775</v>
      </c>
      <c r="L22" s="35">
        <v>47951</v>
      </c>
      <c r="N22" s="35">
        <v>67007</v>
      </c>
      <c r="O22" s="410"/>
    </row>
    <row r="23" spans="1:15" ht="11.25" customHeight="1">
      <c r="A23" s="378" t="s">
        <v>694</v>
      </c>
      <c r="B23" s="99"/>
      <c r="C23" s="35">
        <v>31</v>
      </c>
      <c r="E23" s="35">
        <v>1358</v>
      </c>
      <c r="G23" s="35">
        <v>1359</v>
      </c>
      <c r="H23" s="42"/>
      <c r="I23" s="29"/>
      <c r="J23" s="267" t="s">
        <v>25</v>
      </c>
      <c r="L23" s="267" t="s">
        <v>25</v>
      </c>
      <c r="N23" s="267" t="s">
        <v>25</v>
      </c>
      <c r="O23" s="410"/>
    </row>
    <row r="24" spans="1:15" ht="11.25" customHeight="1">
      <c r="A24" s="98" t="s">
        <v>528</v>
      </c>
      <c r="B24" s="99"/>
      <c r="C24" s="35">
        <v>2612</v>
      </c>
      <c r="E24" s="35">
        <v>232439</v>
      </c>
      <c r="G24" s="35">
        <v>294536</v>
      </c>
      <c r="H24" s="95"/>
      <c r="I24" s="29"/>
      <c r="J24" s="35">
        <v>2010</v>
      </c>
      <c r="L24" s="35">
        <v>205234</v>
      </c>
      <c r="N24" s="35">
        <v>254144</v>
      </c>
      <c r="O24" s="410"/>
    </row>
    <row r="25" spans="1:15" ht="11.25" customHeight="1">
      <c r="A25" s="98" t="s">
        <v>318</v>
      </c>
      <c r="B25" s="99"/>
      <c r="C25" s="35">
        <v>4</v>
      </c>
      <c r="E25" s="35">
        <v>4258</v>
      </c>
      <c r="G25" s="35">
        <v>4795</v>
      </c>
      <c r="H25" s="42"/>
      <c r="I25" s="29"/>
      <c r="J25" s="35">
        <v>3</v>
      </c>
      <c r="L25" s="35">
        <v>4041</v>
      </c>
      <c r="N25" s="35">
        <v>4464</v>
      </c>
      <c r="O25" s="410"/>
    </row>
    <row r="26" spans="1:15" ht="11.25" customHeight="1">
      <c r="A26" s="378" t="s">
        <v>535</v>
      </c>
      <c r="B26" s="99"/>
      <c r="C26" s="35">
        <v>50</v>
      </c>
      <c r="E26" s="35">
        <v>2500</v>
      </c>
      <c r="G26" s="35">
        <v>2500</v>
      </c>
      <c r="H26" s="42"/>
      <c r="I26" s="29"/>
      <c r="J26" s="35">
        <v>126</v>
      </c>
      <c r="L26" s="35">
        <v>7168</v>
      </c>
      <c r="N26" s="35">
        <v>9819</v>
      </c>
      <c r="O26" s="410"/>
    </row>
    <row r="27" spans="1:15" ht="11.25" customHeight="1">
      <c r="A27" s="98" t="s">
        <v>295</v>
      </c>
      <c r="B27" s="99"/>
      <c r="C27" s="35">
        <v>9</v>
      </c>
      <c r="E27" s="35">
        <v>10797</v>
      </c>
      <c r="G27" s="35">
        <v>12331</v>
      </c>
      <c r="H27" s="42"/>
      <c r="I27" s="29"/>
      <c r="J27" s="35">
        <v>11</v>
      </c>
      <c r="L27" s="35">
        <v>12965</v>
      </c>
      <c r="N27" s="35">
        <v>14362</v>
      </c>
      <c r="O27" s="410"/>
    </row>
    <row r="28" spans="1:15" ht="11.25" customHeight="1">
      <c r="A28" s="98" t="s">
        <v>503</v>
      </c>
      <c r="B28" s="99"/>
      <c r="C28" s="35">
        <v>64</v>
      </c>
      <c r="E28" s="35">
        <v>2624</v>
      </c>
      <c r="G28" s="35">
        <v>7583</v>
      </c>
      <c r="H28" s="42"/>
      <c r="I28" s="29"/>
      <c r="J28" s="35">
        <v>246</v>
      </c>
      <c r="L28" s="35">
        <v>13032</v>
      </c>
      <c r="N28" s="35">
        <v>24959</v>
      </c>
      <c r="O28" s="410"/>
    </row>
    <row r="29" spans="1:15" ht="11.25" customHeight="1">
      <c r="A29" s="282" t="s">
        <v>319</v>
      </c>
      <c r="B29" s="99"/>
      <c r="C29" s="35">
        <v>192</v>
      </c>
      <c r="E29" s="35">
        <v>11136</v>
      </c>
      <c r="G29" s="35">
        <v>15413</v>
      </c>
      <c r="H29" s="42"/>
      <c r="I29" s="29"/>
      <c r="J29" s="35">
        <v>284</v>
      </c>
      <c r="L29" s="35">
        <v>18006</v>
      </c>
      <c r="N29" s="35">
        <v>22054</v>
      </c>
      <c r="O29" s="410"/>
    </row>
    <row r="30" spans="1:15" ht="11.25" customHeight="1">
      <c r="A30" s="98" t="s">
        <v>296</v>
      </c>
      <c r="B30" s="99"/>
      <c r="C30" s="35">
        <v>467</v>
      </c>
      <c r="E30" s="35">
        <v>27060</v>
      </c>
      <c r="G30" s="35">
        <v>40273</v>
      </c>
      <c r="H30" s="42"/>
      <c r="I30" s="29"/>
      <c r="J30" s="35">
        <v>348</v>
      </c>
      <c r="L30" s="35">
        <v>21903</v>
      </c>
      <c r="N30" s="35">
        <v>34231</v>
      </c>
      <c r="O30" s="410"/>
    </row>
    <row r="31" spans="1:15" ht="11.25" customHeight="1">
      <c r="A31" s="98" t="s">
        <v>297</v>
      </c>
      <c r="B31" s="99"/>
      <c r="C31" s="35">
        <v>358</v>
      </c>
      <c r="E31" s="35">
        <v>20105</v>
      </c>
      <c r="G31" s="35">
        <v>45508</v>
      </c>
      <c r="H31" s="42"/>
      <c r="I31" s="29"/>
      <c r="J31" s="35">
        <v>41</v>
      </c>
      <c r="L31" s="35">
        <v>2702</v>
      </c>
      <c r="N31" s="35">
        <v>4866</v>
      </c>
      <c r="O31" s="410"/>
    </row>
    <row r="32" spans="1:15" ht="11.25" customHeight="1">
      <c r="A32" s="282" t="s">
        <v>465</v>
      </c>
      <c r="B32" s="99"/>
      <c r="C32" s="35">
        <v>69</v>
      </c>
      <c r="E32" s="35">
        <v>13666</v>
      </c>
      <c r="G32" s="35">
        <v>16426</v>
      </c>
      <c r="H32" s="42"/>
      <c r="I32" s="29"/>
      <c r="J32" s="35">
        <v>90</v>
      </c>
      <c r="L32" s="35">
        <v>9331</v>
      </c>
      <c r="N32" s="35">
        <v>11917</v>
      </c>
      <c r="O32" s="410"/>
    </row>
    <row r="33" spans="1:15" ht="11.25" customHeight="1">
      <c r="A33" s="204" t="s">
        <v>320</v>
      </c>
      <c r="B33" s="570"/>
      <c r="C33" s="35">
        <v>9623</v>
      </c>
      <c r="E33" s="35">
        <v>665961</v>
      </c>
      <c r="G33" s="35">
        <v>861203</v>
      </c>
      <c r="H33" s="570"/>
      <c r="I33" s="29"/>
      <c r="J33" s="35">
        <v>7874</v>
      </c>
      <c r="L33" s="35">
        <v>579284</v>
      </c>
      <c r="N33" s="35">
        <v>726347</v>
      </c>
      <c r="O33" s="410"/>
    </row>
    <row r="34" spans="1:15" ht="11.25" customHeight="1">
      <c r="A34" s="409" t="s">
        <v>507</v>
      </c>
      <c r="B34" s="570"/>
      <c r="C34" s="35">
        <v>561</v>
      </c>
      <c r="E34" s="35">
        <v>63460</v>
      </c>
      <c r="G34" s="35">
        <v>63807</v>
      </c>
      <c r="H34" s="95"/>
      <c r="I34" s="29"/>
      <c r="J34" s="35">
        <v>1117</v>
      </c>
      <c r="L34" s="35">
        <v>103424</v>
      </c>
      <c r="N34" s="35">
        <v>108687</v>
      </c>
      <c r="O34" s="410"/>
    </row>
    <row r="35" spans="1:15" ht="11.25" customHeight="1">
      <c r="A35" s="409" t="s">
        <v>298</v>
      </c>
      <c r="B35" s="570"/>
      <c r="C35" s="35">
        <v>12</v>
      </c>
      <c r="E35" s="35">
        <v>4465</v>
      </c>
      <c r="G35" s="35">
        <v>5487</v>
      </c>
      <c r="H35" s="95"/>
      <c r="I35" s="29"/>
      <c r="J35" s="35">
        <v>6</v>
      </c>
      <c r="L35" s="35">
        <v>739</v>
      </c>
      <c r="N35" s="35">
        <v>853</v>
      </c>
      <c r="O35" s="410"/>
    </row>
    <row r="36" spans="1:15" ht="11.25" customHeight="1">
      <c r="A36" s="282" t="s">
        <v>466</v>
      </c>
      <c r="B36" s="99"/>
      <c r="C36" s="35">
        <v>2476</v>
      </c>
      <c r="E36" s="35">
        <v>197059</v>
      </c>
      <c r="F36" s="95" t="s">
        <v>542</v>
      </c>
      <c r="G36" s="35">
        <v>292911</v>
      </c>
      <c r="H36" s="95" t="s">
        <v>542</v>
      </c>
      <c r="I36" s="29"/>
      <c r="J36" s="35">
        <v>3931</v>
      </c>
      <c r="L36" s="35">
        <v>231215</v>
      </c>
      <c r="N36" s="35">
        <v>356933</v>
      </c>
      <c r="O36" s="410"/>
    </row>
    <row r="37" spans="1:15" ht="11.25" customHeight="1">
      <c r="A37" s="98" t="s">
        <v>508</v>
      </c>
      <c r="B37" s="99"/>
      <c r="C37" s="35">
        <v>1</v>
      </c>
      <c r="D37" s="413" t="s">
        <v>542</v>
      </c>
      <c r="E37" s="35">
        <v>294</v>
      </c>
      <c r="F37" s="413" t="s">
        <v>542</v>
      </c>
      <c r="G37" s="35">
        <v>384</v>
      </c>
      <c r="H37" s="413" t="s">
        <v>542</v>
      </c>
      <c r="I37" s="29"/>
      <c r="J37" s="35">
        <v>1</v>
      </c>
      <c r="L37" s="35">
        <v>306</v>
      </c>
      <c r="N37" s="35">
        <v>352</v>
      </c>
      <c r="O37" s="410"/>
    </row>
    <row r="38" spans="1:15" ht="11.25" customHeight="1">
      <c r="A38" s="205" t="s">
        <v>811</v>
      </c>
      <c r="B38" s="655"/>
      <c r="C38" s="605">
        <v>26006</v>
      </c>
      <c r="D38" s="609"/>
      <c r="E38" s="605">
        <v>2131101</v>
      </c>
      <c r="F38" s="609" t="s">
        <v>542</v>
      </c>
      <c r="G38" s="605">
        <v>2634061</v>
      </c>
      <c r="H38" s="609" t="s">
        <v>542</v>
      </c>
      <c r="I38" s="94"/>
      <c r="J38" s="506">
        <v>25907</v>
      </c>
      <c r="K38" s="507"/>
      <c r="L38" s="506">
        <v>2187840</v>
      </c>
      <c r="M38" s="507"/>
      <c r="N38" s="506">
        <v>2651626</v>
      </c>
      <c r="O38" s="410"/>
    </row>
    <row r="39" spans="1:15" ht="11.25" customHeight="1">
      <c r="A39" s="206" t="s">
        <v>300</v>
      </c>
      <c r="B39" s="656"/>
      <c r="C39" s="35"/>
      <c r="D39" s="35"/>
      <c r="E39" s="35"/>
      <c r="F39" s="35"/>
      <c r="G39" s="35"/>
      <c r="H39" s="35"/>
      <c r="I39" s="35"/>
      <c r="J39" s="35"/>
      <c r="K39" s="35"/>
      <c r="L39" s="35"/>
      <c r="M39" s="35"/>
      <c r="N39" s="35"/>
      <c r="O39" s="257"/>
    </row>
    <row r="40" spans="1:15" ht="11.25" customHeight="1">
      <c r="A40" s="207" t="s">
        <v>486</v>
      </c>
      <c r="B40" s="387"/>
      <c r="C40" s="267" t="s">
        <v>25</v>
      </c>
      <c r="E40" s="267" t="s">
        <v>25</v>
      </c>
      <c r="G40" s="267" t="s">
        <v>25</v>
      </c>
      <c r="H40" s="35"/>
      <c r="I40" s="35"/>
      <c r="J40" s="35">
        <v>73</v>
      </c>
      <c r="L40" s="35">
        <v>3239</v>
      </c>
      <c r="M40" s="35"/>
      <c r="N40" s="35">
        <v>4816</v>
      </c>
      <c r="O40" s="257"/>
    </row>
    <row r="41" spans="1:15" ht="11.25" customHeight="1">
      <c r="A41" s="207" t="s">
        <v>467</v>
      </c>
      <c r="B41" s="387"/>
      <c r="C41" s="35">
        <v>343</v>
      </c>
      <c r="E41" s="35">
        <v>31508</v>
      </c>
      <c r="G41" s="35">
        <v>38214</v>
      </c>
      <c r="H41" s="42"/>
      <c r="I41" s="29"/>
      <c r="J41" s="35">
        <v>353</v>
      </c>
      <c r="L41" s="35">
        <v>26619</v>
      </c>
      <c r="N41" s="35">
        <v>34734</v>
      </c>
      <c r="O41" s="410"/>
    </row>
    <row r="42" spans="1:15" ht="11.25" customHeight="1">
      <c r="A42" s="385" t="s">
        <v>315</v>
      </c>
      <c r="B42" s="387"/>
      <c r="C42" s="61" t="s">
        <v>543</v>
      </c>
      <c r="E42" s="35">
        <v>37</v>
      </c>
      <c r="G42" s="35">
        <v>85</v>
      </c>
      <c r="H42" s="42"/>
      <c r="I42" s="29"/>
      <c r="J42" s="35">
        <v>45</v>
      </c>
      <c r="L42" s="35">
        <v>2151</v>
      </c>
      <c r="N42" s="35">
        <v>2893</v>
      </c>
      <c r="O42" s="410"/>
    </row>
    <row r="43" spans="1:15" ht="11.25" customHeight="1">
      <c r="A43" s="283" t="s">
        <v>503</v>
      </c>
      <c r="B43" s="387"/>
      <c r="C43" s="35">
        <v>199</v>
      </c>
      <c r="E43" s="35">
        <v>6530</v>
      </c>
      <c r="G43" s="35">
        <v>8916</v>
      </c>
      <c r="H43" s="42"/>
      <c r="I43" s="29"/>
      <c r="J43" s="267" t="s">
        <v>25</v>
      </c>
      <c r="L43" s="267" t="s">
        <v>25</v>
      </c>
      <c r="N43" s="267" t="s">
        <v>25</v>
      </c>
      <c r="O43" s="410"/>
    </row>
    <row r="44" spans="1:15" ht="11.25" customHeight="1">
      <c r="A44" s="283" t="s">
        <v>465</v>
      </c>
      <c r="B44" s="387"/>
      <c r="C44" s="86">
        <v>24</v>
      </c>
      <c r="E44" s="35">
        <v>3767</v>
      </c>
      <c r="G44" s="35">
        <v>5300</v>
      </c>
      <c r="H44" s="42"/>
      <c r="I44" s="29"/>
      <c r="J44" s="86">
        <v>22</v>
      </c>
      <c r="L44" s="86">
        <v>2936</v>
      </c>
      <c r="N44" s="86">
        <v>4022</v>
      </c>
      <c r="O44" s="410"/>
    </row>
    <row r="45" spans="1:15" ht="11.25" customHeight="1">
      <c r="A45" s="207" t="s">
        <v>320</v>
      </c>
      <c r="B45" s="387"/>
      <c r="C45" s="267" t="s">
        <v>25</v>
      </c>
      <c r="E45" s="267" t="s">
        <v>25</v>
      </c>
      <c r="G45" s="267" t="s">
        <v>25</v>
      </c>
      <c r="H45" s="42"/>
      <c r="I45" s="29"/>
      <c r="J45" s="86">
        <v>52.173000000000002</v>
      </c>
      <c r="L45" s="86">
        <v>2484</v>
      </c>
      <c r="N45" s="86">
        <v>3817</v>
      </c>
      <c r="O45" s="410"/>
    </row>
    <row r="46" spans="1:15" ht="11.25" customHeight="1">
      <c r="A46" s="207" t="s">
        <v>472</v>
      </c>
      <c r="B46" s="387"/>
      <c r="C46" s="35">
        <v>1</v>
      </c>
      <c r="D46" s="95"/>
      <c r="E46" s="35">
        <v>91</v>
      </c>
      <c r="F46" s="95" t="s">
        <v>542</v>
      </c>
      <c r="G46" s="35">
        <v>93</v>
      </c>
      <c r="H46" s="95" t="s">
        <v>542</v>
      </c>
      <c r="I46" s="29"/>
      <c r="J46" s="35">
        <v>5</v>
      </c>
      <c r="L46" s="86">
        <v>620</v>
      </c>
      <c r="N46" s="86">
        <v>848</v>
      </c>
      <c r="O46" s="410"/>
    </row>
    <row r="47" spans="1:15" ht="11.25" customHeight="1">
      <c r="A47" s="208" t="s">
        <v>835</v>
      </c>
      <c r="B47" s="657"/>
      <c r="C47" s="606">
        <v>567</v>
      </c>
      <c r="D47" s="607"/>
      <c r="E47" s="606">
        <v>41933</v>
      </c>
      <c r="F47" s="607"/>
      <c r="G47" s="606">
        <v>52608</v>
      </c>
      <c r="H47" s="541"/>
      <c r="I47" s="537"/>
      <c r="J47" s="606">
        <v>550</v>
      </c>
      <c r="K47" s="550"/>
      <c r="L47" s="532">
        <v>38048</v>
      </c>
      <c r="M47" s="550"/>
      <c r="N47" s="532">
        <v>51128</v>
      </c>
      <c r="O47" s="410"/>
    </row>
    <row r="48" spans="1:15" ht="11.25" customHeight="1">
      <c r="A48" s="209" t="s">
        <v>810</v>
      </c>
      <c r="B48" s="658"/>
      <c r="C48" s="362">
        <v>26573</v>
      </c>
      <c r="D48" s="608"/>
      <c r="E48" s="362">
        <v>2173034</v>
      </c>
      <c r="F48" s="363" t="s">
        <v>542</v>
      </c>
      <c r="G48" s="362">
        <v>2686668</v>
      </c>
      <c r="H48" s="277" t="s">
        <v>542</v>
      </c>
      <c r="I48" s="292"/>
      <c r="J48" s="85">
        <v>26457</v>
      </c>
      <c r="K48" s="508"/>
      <c r="L48" s="85">
        <v>2225888</v>
      </c>
      <c r="M48" s="508"/>
      <c r="N48" s="85">
        <v>2702754</v>
      </c>
      <c r="O48" s="410"/>
    </row>
    <row r="49" spans="1:15" s="112" customFormat="1" ht="11.25" customHeight="1">
      <c r="A49" s="794" t="s">
        <v>381</v>
      </c>
      <c r="B49" s="795"/>
      <c r="C49" s="699"/>
      <c r="D49" s="699"/>
      <c r="E49" s="699"/>
      <c r="F49" s="699"/>
      <c r="G49" s="699"/>
      <c r="H49" s="699"/>
      <c r="I49" s="702"/>
      <c r="J49" s="702"/>
      <c r="K49" s="702"/>
      <c r="L49" s="702"/>
      <c r="M49" s="702"/>
      <c r="N49" s="702"/>
    </row>
    <row r="50" spans="1:15" s="112" customFormat="1" ht="22.5" customHeight="1">
      <c r="A50" s="696" t="s">
        <v>743</v>
      </c>
      <c r="B50" s="696"/>
      <c r="C50" s="700"/>
      <c r="D50" s="700"/>
      <c r="E50" s="700"/>
      <c r="F50" s="700"/>
      <c r="G50" s="700"/>
      <c r="H50" s="700"/>
      <c r="I50" s="700"/>
      <c r="J50" s="700"/>
      <c r="K50" s="700"/>
      <c r="L50" s="700"/>
      <c r="M50" s="700"/>
      <c r="N50" s="700"/>
    </row>
    <row r="51" spans="1:15" s="120" customFormat="1" ht="22.5" customHeight="1">
      <c r="A51" s="796" t="s">
        <v>389</v>
      </c>
      <c r="B51" s="796"/>
      <c r="C51" s="700"/>
      <c r="D51" s="700"/>
      <c r="E51" s="700"/>
      <c r="F51" s="700"/>
      <c r="G51" s="700"/>
      <c r="H51" s="700"/>
      <c r="I51" s="700"/>
      <c r="J51" s="700"/>
      <c r="K51" s="700"/>
      <c r="L51" s="700"/>
      <c r="M51" s="700"/>
      <c r="N51" s="700"/>
    </row>
    <row r="52" spans="1:15" s="112" customFormat="1" ht="22.5" customHeight="1">
      <c r="A52" s="799" t="s">
        <v>812</v>
      </c>
      <c r="B52" s="799"/>
      <c r="C52" s="699"/>
      <c r="D52" s="699"/>
      <c r="E52" s="699"/>
      <c r="F52" s="699"/>
      <c r="G52" s="699"/>
      <c r="H52" s="699"/>
      <c r="I52" s="699"/>
      <c r="J52" s="699"/>
      <c r="K52" s="699"/>
      <c r="L52" s="699"/>
      <c r="M52" s="699"/>
      <c r="N52" s="699"/>
    </row>
    <row r="53" spans="1:15" s="112" customFormat="1" ht="11.25" customHeight="1">
      <c r="A53" s="798" t="s">
        <v>696</v>
      </c>
      <c r="B53" s="798"/>
      <c r="C53" s="798"/>
      <c r="D53" s="798"/>
      <c r="E53" s="798"/>
      <c r="F53" s="798"/>
      <c r="G53" s="798"/>
      <c r="H53" s="798"/>
      <c r="I53" s="798"/>
      <c r="J53" s="798"/>
      <c r="K53" s="798"/>
      <c r="L53" s="798"/>
      <c r="M53" s="798"/>
      <c r="N53" s="798"/>
    </row>
    <row r="54" spans="1:15" s="112" customFormat="1" ht="11.25" customHeight="1">
      <c r="A54" s="795" t="s">
        <v>695</v>
      </c>
      <c r="B54" s="795"/>
      <c r="C54" s="699"/>
      <c r="D54" s="699"/>
      <c r="E54" s="699"/>
      <c r="F54" s="699"/>
      <c r="G54" s="699"/>
      <c r="H54" s="699"/>
      <c r="I54" s="699"/>
      <c r="J54" s="699"/>
      <c r="K54" s="699"/>
      <c r="L54" s="699"/>
      <c r="M54" s="699"/>
      <c r="N54" s="699"/>
    </row>
    <row r="55" spans="1:15" s="112" customFormat="1" ht="11.25" customHeight="1">
      <c r="A55" s="800" t="s">
        <v>697</v>
      </c>
      <c r="B55" s="800"/>
      <c r="C55" s="800"/>
      <c r="D55" s="800"/>
      <c r="E55" s="800"/>
      <c r="F55" s="800"/>
      <c r="G55" s="800"/>
      <c r="H55" s="800"/>
      <c r="I55" s="800"/>
      <c r="J55" s="800"/>
      <c r="K55" s="800"/>
      <c r="L55" s="735"/>
      <c r="M55" s="735"/>
      <c r="N55" s="735"/>
    </row>
    <row r="56" spans="1:15" s="112" customFormat="1" ht="11.25" customHeight="1">
      <c r="A56" s="797" t="s">
        <v>809</v>
      </c>
      <c r="B56" s="797"/>
      <c r="C56" s="699"/>
      <c r="D56" s="699"/>
      <c r="E56" s="699"/>
      <c r="F56" s="699"/>
      <c r="G56" s="699"/>
      <c r="H56" s="699"/>
      <c r="I56" s="699"/>
      <c r="J56" s="699"/>
      <c r="K56" s="699"/>
      <c r="L56" s="699"/>
      <c r="M56" s="699"/>
      <c r="N56" s="699"/>
    </row>
    <row r="57" spans="1:15" s="112" customFormat="1" ht="11.25" customHeight="1">
      <c r="A57" s="694"/>
      <c r="B57" s="694"/>
      <c r="C57" s="699"/>
      <c r="D57" s="699"/>
      <c r="E57" s="699"/>
      <c r="F57" s="699"/>
      <c r="G57" s="699"/>
      <c r="H57" s="699"/>
      <c r="I57" s="699"/>
      <c r="J57" s="699"/>
      <c r="K57" s="699"/>
      <c r="L57" s="699"/>
      <c r="M57" s="699"/>
      <c r="N57" s="699"/>
    </row>
    <row r="58" spans="1:15" s="112" customFormat="1" ht="11.25" customHeight="1">
      <c r="A58" s="694" t="s">
        <v>301</v>
      </c>
      <c r="B58" s="694"/>
      <c r="C58" s="699"/>
      <c r="D58" s="699"/>
      <c r="E58" s="699"/>
      <c r="F58" s="699"/>
      <c r="G58" s="699"/>
      <c r="H58" s="699"/>
      <c r="I58" s="699"/>
      <c r="J58" s="699"/>
      <c r="K58" s="699"/>
      <c r="L58" s="699"/>
      <c r="M58" s="699"/>
      <c r="N58" s="699"/>
    </row>
    <row r="59" spans="1:15" ht="11.25" customHeight="1">
      <c r="A59" s="132"/>
      <c r="B59" s="132"/>
      <c r="C59" s="386"/>
      <c r="D59" s="132"/>
      <c r="E59" s="386"/>
      <c r="F59" s="386"/>
      <c r="G59" s="386"/>
      <c r="H59" s="386"/>
      <c r="I59" s="386"/>
      <c r="J59" s="386"/>
      <c r="K59" s="386"/>
      <c r="L59" s="386"/>
      <c r="M59" s="386"/>
      <c r="N59" s="386"/>
      <c r="O59" s="257"/>
    </row>
    <row r="60" spans="1:15" ht="11.25" customHeight="1">
      <c r="A60" s="132"/>
      <c r="B60" s="132"/>
      <c r="C60" s="386"/>
      <c r="D60" s="386"/>
      <c r="E60" s="386"/>
      <c r="F60" s="386"/>
      <c r="G60" s="386"/>
      <c r="H60" s="386"/>
      <c r="I60" s="386"/>
      <c r="J60" s="386"/>
      <c r="K60" s="386"/>
      <c r="L60" s="386"/>
      <c r="M60" s="386"/>
      <c r="N60" s="386"/>
    </row>
    <row r="61" spans="1:15" ht="11.25" customHeight="1">
      <c r="A61" s="132"/>
      <c r="B61" s="132"/>
      <c r="C61" s="386"/>
      <c r="D61" s="132"/>
      <c r="E61" s="386"/>
      <c r="F61" s="386"/>
      <c r="G61" s="386"/>
      <c r="H61" s="386"/>
      <c r="I61" s="386"/>
      <c r="J61" s="386"/>
      <c r="K61" s="386"/>
      <c r="L61" s="386"/>
      <c r="M61" s="386"/>
      <c r="N61" s="386"/>
    </row>
    <row r="62" spans="1:15" ht="11.25" customHeight="1">
      <c r="A62" s="132"/>
      <c r="B62" s="132"/>
      <c r="C62" s="132"/>
      <c r="D62" s="132"/>
      <c r="E62" s="132"/>
      <c r="F62" s="132"/>
      <c r="G62" s="132"/>
      <c r="H62" s="132"/>
      <c r="I62" s="132"/>
      <c r="J62" s="132"/>
      <c r="K62" s="132"/>
      <c r="L62" s="132"/>
      <c r="M62" s="132"/>
      <c r="N62" s="132"/>
    </row>
    <row r="63" spans="1:15" ht="11.25" customHeight="1">
      <c r="A63" s="132"/>
      <c r="B63" s="132"/>
      <c r="C63" s="132"/>
      <c r="D63" s="132"/>
      <c r="E63" s="132"/>
      <c r="F63" s="132"/>
      <c r="G63" s="132"/>
      <c r="H63" s="132"/>
      <c r="I63" s="132"/>
      <c r="J63" s="132"/>
      <c r="K63" s="132"/>
      <c r="L63" s="132"/>
      <c r="M63" s="132"/>
      <c r="N63" s="132"/>
    </row>
    <row r="64" spans="1:15" ht="11.25" customHeight="1">
      <c r="A64" s="132"/>
      <c r="B64" s="132"/>
      <c r="C64" s="132"/>
      <c r="D64" s="132"/>
      <c r="E64" s="132"/>
      <c r="F64" s="132"/>
      <c r="G64" s="132"/>
      <c r="H64" s="132"/>
      <c r="I64" s="132"/>
      <c r="J64" s="132"/>
      <c r="K64" s="132"/>
      <c r="L64" s="132"/>
      <c r="M64" s="132"/>
      <c r="N64" s="132"/>
    </row>
    <row r="65" spans="1:14" ht="11.25" customHeight="1">
      <c r="A65" s="132"/>
      <c r="B65" s="132"/>
      <c r="C65" s="132"/>
      <c r="D65" s="132"/>
      <c r="E65" s="132"/>
      <c r="F65" s="132"/>
      <c r="G65" s="132"/>
      <c r="H65" s="132"/>
      <c r="I65" s="132"/>
      <c r="J65" s="132"/>
      <c r="K65" s="132"/>
      <c r="L65" s="132"/>
      <c r="M65" s="132"/>
      <c r="N65" s="132"/>
    </row>
    <row r="66" spans="1:14" ht="11.25" customHeight="1">
      <c r="A66" s="132"/>
      <c r="B66" s="132"/>
      <c r="C66" s="132"/>
      <c r="D66" s="132"/>
      <c r="E66" s="132"/>
      <c r="F66" s="132"/>
      <c r="G66" s="132"/>
      <c r="H66" s="132"/>
      <c r="I66" s="132"/>
      <c r="J66" s="132"/>
      <c r="K66" s="132"/>
      <c r="L66" s="132"/>
      <c r="M66" s="132"/>
      <c r="N66" s="132"/>
    </row>
    <row r="67" spans="1:14" ht="11.25" customHeight="1">
      <c r="A67" s="132"/>
      <c r="B67" s="132"/>
      <c r="C67" s="132"/>
      <c r="D67" s="132"/>
      <c r="E67" s="132"/>
      <c r="F67" s="132"/>
      <c r="G67" s="132"/>
      <c r="H67" s="132"/>
      <c r="I67" s="132"/>
      <c r="J67" s="132"/>
      <c r="K67" s="132"/>
      <c r="L67" s="132"/>
      <c r="M67" s="132"/>
      <c r="N67" s="132"/>
    </row>
    <row r="68" spans="1:14" ht="11.25" customHeight="1">
      <c r="A68" s="132"/>
      <c r="B68" s="132"/>
      <c r="C68" s="132"/>
      <c r="D68" s="132"/>
      <c r="E68" s="132"/>
      <c r="F68" s="132"/>
      <c r="G68" s="132"/>
      <c r="H68" s="132"/>
      <c r="I68" s="132"/>
      <c r="J68" s="132"/>
      <c r="K68" s="132"/>
      <c r="L68" s="132"/>
      <c r="M68" s="132"/>
      <c r="N68" s="132"/>
    </row>
    <row r="69" spans="1:14" ht="11.25" customHeight="1">
      <c r="A69" s="132"/>
      <c r="B69" s="132"/>
      <c r="C69" s="132"/>
      <c r="D69" s="132"/>
      <c r="E69" s="132"/>
      <c r="F69" s="132"/>
      <c r="G69" s="132"/>
      <c r="H69" s="132"/>
      <c r="I69" s="132"/>
      <c r="J69" s="132"/>
      <c r="K69" s="132"/>
      <c r="L69" s="132"/>
      <c r="M69" s="132"/>
      <c r="N69" s="132"/>
    </row>
    <row r="70" spans="1:14" ht="11.25" customHeight="1">
      <c r="A70" s="132"/>
      <c r="B70" s="132"/>
      <c r="C70" s="132"/>
      <c r="D70" s="132"/>
      <c r="E70" s="132"/>
      <c r="F70" s="132"/>
      <c r="G70" s="132"/>
      <c r="H70" s="132"/>
      <c r="I70" s="132"/>
      <c r="J70" s="132"/>
      <c r="K70" s="132"/>
      <c r="L70" s="132"/>
      <c r="M70" s="132"/>
      <c r="N70" s="132"/>
    </row>
    <row r="71" spans="1:14" ht="11.25" customHeight="1"/>
    <row r="72" spans="1:14" ht="11.25" customHeight="1"/>
    <row r="73" spans="1:14" ht="11.25" customHeight="1"/>
    <row r="74" spans="1:14" ht="11.25" customHeight="1"/>
    <row r="75" spans="1:14" ht="11.25" customHeight="1"/>
    <row r="76" spans="1:14" ht="11.25" customHeight="1"/>
    <row r="77" spans="1:14" ht="11.25" customHeight="1"/>
    <row r="78" spans="1:14" ht="11.25" customHeight="1"/>
    <row r="79" spans="1:14" ht="11.25" customHeight="1"/>
    <row r="80" spans="1:14"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sheetData>
  <mergeCells count="19">
    <mergeCell ref="A57:N57"/>
    <mergeCell ref="A58:N58"/>
    <mergeCell ref="A49:N49"/>
    <mergeCell ref="A51:N51"/>
    <mergeCell ref="A56:N56"/>
    <mergeCell ref="A54:N54"/>
    <mergeCell ref="A53:N53"/>
    <mergeCell ref="A52:N52"/>
    <mergeCell ref="A50:N50"/>
    <mergeCell ref="A55:N55"/>
    <mergeCell ref="L7:N7"/>
    <mergeCell ref="A1:N1"/>
    <mergeCell ref="A2:N2"/>
    <mergeCell ref="A3:N3"/>
    <mergeCell ref="A4:N4"/>
    <mergeCell ref="A5:N5"/>
    <mergeCell ref="J6:N6"/>
    <mergeCell ref="E7:G7"/>
    <mergeCell ref="C6:H6"/>
  </mergeCells>
  <pageMargins left="0.5" right="0.5" top="0.75" bottom="0.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C35BB-24CB-487A-B61E-6C6D6E06456B}">
  <dimension ref="A1:Z239"/>
  <sheetViews>
    <sheetView showWhiteSpace="0" topLeftCell="A53" zoomScaleNormal="100" zoomScaleSheetLayoutView="100" zoomScalePageLayoutView="146" workbookViewId="0">
      <selection activeCell="G57" sqref="G57"/>
    </sheetView>
  </sheetViews>
  <sheetFormatPr defaultColWidth="7.54296875" defaultRowHeight="11.25" customHeight="1"/>
  <cols>
    <col min="1" max="1" width="32.7265625" style="31" customWidth="1"/>
    <col min="2" max="2" width="1.7265625" style="31" customWidth="1"/>
    <col min="3" max="3" width="8.7265625" style="31" customWidth="1"/>
    <col min="4" max="4" width="1.7265625" style="57" customWidth="1"/>
    <col min="5" max="5" width="8.7265625" style="31" customWidth="1"/>
    <col min="6" max="6" width="1.7265625" style="41" customWidth="1"/>
    <col min="7" max="7" width="8.7265625" style="31" customWidth="1"/>
    <col min="8" max="9" width="1.7265625" style="41" customWidth="1"/>
    <col min="10" max="10" width="8.7265625" style="31" customWidth="1"/>
    <col min="11" max="11" width="1.7265625" style="31" customWidth="1"/>
    <col min="12" max="12" width="8.7265625" style="31" customWidth="1"/>
    <col min="13" max="13" width="1.7265625" style="31" customWidth="1"/>
    <col min="14" max="14" width="8.7265625" style="31" customWidth="1"/>
    <col min="15" max="15" width="7.54296875" style="31"/>
    <col min="16" max="16" width="14.7265625" style="31" customWidth="1"/>
    <col min="17" max="18" width="11.7265625" style="31" customWidth="1"/>
    <col min="19" max="19" width="7.54296875" style="31"/>
    <col min="20" max="20" width="9.7265625" style="31" customWidth="1"/>
    <col min="21" max="21" width="7.54296875" style="31"/>
    <col min="22" max="22" width="10.453125" style="31" customWidth="1"/>
    <col min="23" max="23" width="7.54296875" style="31"/>
    <col min="24" max="24" width="11.1796875" style="31" customWidth="1"/>
    <col min="25" max="25" width="7.54296875" style="31"/>
    <col min="26" max="26" width="12.7265625" style="31" customWidth="1"/>
    <col min="27" max="16384" width="7.54296875" style="31"/>
  </cols>
  <sheetData>
    <row r="1" spans="1:14" ht="11.25" customHeight="1">
      <c r="A1" s="801" t="s">
        <v>321</v>
      </c>
      <c r="B1" s="801"/>
      <c r="C1" s="801"/>
      <c r="D1" s="801"/>
      <c r="E1" s="801"/>
      <c r="F1" s="801"/>
      <c r="G1" s="801"/>
      <c r="H1" s="801"/>
      <c r="I1" s="801"/>
      <c r="J1" s="801"/>
      <c r="K1" s="801"/>
      <c r="L1" s="801"/>
      <c r="M1" s="801"/>
      <c r="N1" s="801"/>
    </row>
    <row r="2" spans="1:14" ht="11.25" customHeight="1">
      <c r="A2" s="801" t="s">
        <v>378</v>
      </c>
      <c r="B2" s="801"/>
      <c r="C2" s="801"/>
      <c r="D2" s="801"/>
      <c r="E2" s="801"/>
      <c r="F2" s="801"/>
      <c r="G2" s="801"/>
      <c r="H2" s="801"/>
      <c r="I2" s="801"/>
      <c r="J2" s="801"/>
      <c r="K2" s="801"/>
      <c r="L2" s="801"/>
      <c r="M2" s="801"/>
      <c r="N2" s="801"/>
    </row>
    <row r="3" spans="1:14" ht="11.25" customHeight="1">
      <c r="A3" s="801"/>
      <c r="B3" s="691"/>
      <c r="C3" s="691"/>
      <c r="D3" s="691"/>
      <c r="E3" s="691"/>
      <c r="F3" s="691"/>
      <c r="G3" s="691"/>
      <c r="H3" s="691"/>
      <c r="I3" s="691"/>
      <c r="J3" s="691"/>
      <c r="K3" s="691"/>
      <c r="L3" s="691"/>
      <c r="M3" s="691"/>
      <c r="N3" s="691"/>
    </row>
    <row r="4" spans="1:14" ht="11.25" customHeight="1">
      <c r="A4" s="801" t="s">
        <v>281</v>
      </c>
      <c r="B4" s="801"/>
      <c r="C4" s="801"/>
      <c r="D4" s="801"/>
      <c r="E4" s="801"/>
      <c r="F4" s="801"/>
      <c r="G4" s="801"/>
      <c r="H4" s="801"/>
      <c r="I4" s="801"/>
      <c r="J4" s="801"/>
      <c r="K4" s="801"/>
      <c r="L4" s="801"/>
      <c r="M4" s="801"/>
      <c r="N4" s="801"/>
    </row>
    <row r="5" spans="1:14" ht="11.25" customHeight="1">
      <c r="A5" s="805"/>
      <c r="B5" s="691"/>
      <c r="C5" s="691"/>
      <c r="D5" s="691"/>
      <c r="E5" s="691"/>
      <c r="F5" s="691"/>
      <c r="G5" s="691"/>
      <c r="H5" s="691"/>
      <c r="I5" s="691"/>
      <c r="J5" s="691"/>
      <c r="K5" s="691"/>
      <c r="L5" s="691"/>
      <c r="M5" s="691"/>
      <c r="N5" s="691"/>
    </row>
    <row r="6" spans="1:14" ht="11.25" customHeight="1">
      <c r="A6" s="107"/>
      <c r="B6" s="107"/>
      <c r="C6" s="808" t="s">
        <v>533</v>
      </c>
      <c r="D6" s="808"/>
      <c r="E6" s="808"/>
      <c r="F6" s="808"/>
      <c r="G6" s="808"/>
      <c r="H6" s="809"/>
      <c r="I6" s="533"/>
      <c r="J6" s="806" t="s">
        <v>724</v>
      </c>
      <c r="K6" s="806"/>
      <c r="L6" s="806"/>
      <c r="M6" s="806"/>
      <c r="N6" s="806"/>
    </row>
    <row r="7" spans="1:14" ht="11.25" customHeight="1">
      <c r="A7" s="70"/>
      <c r="B7" s="70"/>
      <c r="C7" s="142"/>
      <c r="D7" s="142"/>
      <c r="E7" s="804" t="s">
        <v>303</v>
      </c>
      <c r="F7" s="804"/>
      <c r="G7" s="804"/>
      <c r="H7" s="549"/>
      <c r="I7" s="154"/>
      <c r="J7" s="142"/>
      <c r="K7" s="142"/>
      <c r="L7" s="807" t="s">
        <v>303</v>
      </c>
      <c r="M7" s="807"/>
      <c r="N7" s="807"/>
    </row>
    <row r="8" spans="1:14" ht="11.25" customHeight="1">
      <c r="A8" s="72" t="s">
        <v>379</v>
      </c>
      <c r="B8" s="73"/>
      <c r="C8" s="72" t="s">
        <v>62</v>
      </c>
      <c r="D8" s="72"/>
      <c r="E8" s="548" t="s">
        <v>304</v>
      </c>
      <c r="F8" s="548"/>
      <c r="G8" s="524" t="s">
        <v>305</v>
      </c>
      <c r="H8" s="534"/>
      <c r="I8" s="534"/>
      <c r="J8" s="72" t="s">
        <v>62</v>
      </c>
      <c r="K8" s="72"/>
      <c r="L8" s="72" t="s">
        <v>304</v>
      </c>
      <c r="M8" s="72"/>
      <c r="N8" s="143" t="s">
        <v>305</v>
      </c>
    </row>
    <row r="9" spans="1:14" ht="11.25" customHeight="1">
      <c r="A9" s="74" t="s">
        <v>322</v>
      </c>
      <c r="B9" s="33"/>
      <c r="C9" s="34"/>
      <c r="D9" s="34"/>
      <c r="E9" s="34"/>
      <c r="F9" s="34"/>
      <c r="G9" s="34"/>
      <c r="H9" s="58"/>
      <c r="I9" s="58"/>
      <c r="J9" s="34"/>
      <c r="K9" s="34"/>
      <c r="L9" s="34"/>
      <c r="M9" s="34"/>
      <c r="N9" s="34"/>
    </row>
    <row r="10" spans="1:14" ht="11.25" customHeight="1">
      <c r="A10" s="75" t="s">
        <v>292</v>
      </c>
      <c r="B10" s="22"/>
      <c r="C10" s="35">
        <v>107</v>
      </c>
      <c r="D10" s="31"/>
      <c r="E10" s="35">
        <v>6043</v>
      </c>
      <c r="F10" s="31"/>
      <c r="G10" s="35">
        <v>10041</v>
      </c>
      <c r="H10" s="91"/>
      <c r="I10" s="91"/>
      <c r="J10" s="35">
        <v>81</v>
      </c>
      <c r="L10" s="35">
        <v>5269</v>
      </c>
      <c r="N10" s="35">
        <v>7995</v>
      </c>
    </row>
    <row r="11" spans="1:14" ht="11.25" customHeight="1">
      <c r="A11" s="381" t="s">
        <v>466</v>
      </c>
      <c r="B11" s="22"/>
      <c r="C11" s="35">
        <v>28</v>
      </c>
      <c r="D11" s="31"/>
      <c r="E11" s="35">
        <v>2692</v>
      </c>
      <c r="F11" s="31"/>
      <c r="G11" s="35">
        <v>2697</v>
      </c>
      <c r="H11" s="91"/>
      <c r="I11" s="91"/>
      <c r="J11" s="35">
        <v>59</v>
      </c>
      <c r="L11" s="35">
        <v>2822</v>
      </c>
      <c r="N11" s="35">
        <v>5166</v>
      </c>
    </row>
    <row r="12" spans="1:14" ht="11.25" customHeight="1">
      <c r="A12" s="92" t="s">
        <v>380</v>
      </c>
      <c r="B12" s="22"/>
      <c r="C12" s="513">
        <v>135</v>
      </c>
      <c r="D12" s="514"/>
      <c r="E12" s="593">
        <v>8734</v>
      </c>
      <c r="F12" s="514"/>
      <c r="G12" s="515">
        <v>12738</v>
      </c>
      <c r="H12" s="84"/>
      <c r="I12" s="535"/>
      <c r="J12" s="573">
        <v>140</v>
      </c>
      <c r="K12" s="574"/>
      <c r="L12" s="573">
        <v>8091</v>
      </c>
      <c r="M12" s="574"/>
      <c r="N12" s="575">
        <v>13161</v>
      </c>
    </row>
    <row r="13" spans="1:14" ht="11.25" customHeight="1">
      <c r="A13" s="76" t="s">
        <v>323</v>
      </c>
      <c r="B13" s="22"/>
      <c r="C13" s="35"/>
      <c r="D13" s="35"/>
      <c r="E13" s="35"/>
      <c r="F13" s="35"/>
      <c r="G13" s="35"/>
      <c r="H13" s="35"/>
      <c r="I13" s="35"/>
      <c r="J13" s="35"/>
      <c r="K13" s="35"/>
      <c r="L13" s="35"/>
      <c r="M13" s="35"/>
      <c r="N13" s="35"/>
    </row>
    <row r="14" spans="1:14" ht="11.25" customHeight="1">
      <c r="A14" s="281" t="s">
        <v>287</v>
      </c>
      <c r="B14" s="22"/>
      <c r="C14" s="267" t="s">
        <v>25</v>
      </c>
      <c r="D14" s="35"/>
      <c r="E14" s="267" t="s">
        <v>25</v>
      </c>
      <c r="F14" s="35"/>
      <c r="G14" s="267" t="s">
        <v>25</v>
      </c>
      <c r="H14" s="35"/>
      <c r="I14" s="35"/>
      <c r="J14" s="35">
        <v>1</v>
      </c>
      <c r="L14" s="35">
        <v>329</v>
      </c>
      <c r="M14" s="35"/>
      <c r="N14" s="35">
        <v>768</v>
      </c>
    </row>
    <row r="15" spans="1:14" ht="11.25" customHeight="1">
      <c r="A15" s="281" t="s">
        <v>313</v>
      </c>
      <c r="B15" s="22"/>
      <c r="C15" s="35">
        <v>5</v>
      </c>
      <c r="D15" s="31"/>
      <c r="E15" s="35">
        <v>1585</v>
      </c>
      <c r="F15" s="31"/>
      <c r="G15" s="35">
        <v>2351</v>
      </c>
      <c r="H15" s="91"/>
      <c r="I15" s="91"/>
      <c r="J15" s="35">
        <v>1</v>
      </c>
      <c r="L15" s="35">
        <v>248</v>
      </c>
      <c r="N15" s="35">
        <v>372</v>
      </c>
    </row>
    <row r="16" spans="1:14" ht="11.25" customHeight="1">
      <c r="A16" s="505" t="s">
        <v>320</v>
      </c>
      <c r="B16" s="22"/>
      <c r="C16" s="35">
        <v>33</v>
      </c>
      <c r="D16" s="31"/>
      <c r="E16" s="35">
        <v>2506</v>
      </c>
      <c r="F16" s="31"/>
      <c r="G16" s="35">
        <v>3678</v>
      </c>
      <c r="H16" s="91"/>
      <c r="I16" s="91"/>
      <c r="J16" s="267" t="s">
        <v>25</v>
      </c>
      <c r="K16" s="35"/>
      <c r="L16" s="267" t="s">
        <v>25</v>
      </c>
      <c r="M16" s="35"/>
      <c r="N16" s="267" t="s">
        <v>25</v>
      </c>
    </row>
    <row r="17" spans="1:14" ht="11.25" customHeight="1">
      <c r="A17" s="75" t="s">
        <v>473</v>
      </c>
      <c r="B17" s="22"/>
      <c r="C17" s="61" t="s">
        <v>543</v>
      </c>
      <c r="D17" s="31"/>
      <c r="E17" s="35">
        <v>25</v>
      </c>
      <c r="F17" s="31"/>
      <c r="G17" s="35">
        <v>32</v>
      </c>
      <c r="H17" s="29"/>
      <c r="I17" s="29"/>
      <c r="J17" s="61" t="s">
        <v>543</v>
      </c>
      <c r="L17" s="35">
        <v>11</v>
      </c>
      <c r="N17" s="35">
        <v>12</v>
      </c>
    </row>
    <row r="18" spans="1:14" ht="11.25" customHeight="1">
      <c r="A18" s="92" t="s">
        <v>380</v>
      </c>
      <c r="B18" s="22"/>
      <c r="C18" s="513">
        <v>38</v>
      </c>
      <c r="D18" s="514"/>
      <c r="E18" s="593">
        <v>4116</v>
      </c>
      <c r="F18" s="514"/>
      <c r="G18" s="513">
        <v>6061</v>
      </c>
      <c r="H18" s="93"/>
      <c r="I18" s="536"/>
      <c r="J18" s="573">
        <v>2</v>
      </c>
      <c r="K18" s="574"/>
      <c r="L18" s="575">
        <v>588</v>
      </c>
      <c r="M18" s="574"/>
      <c r="N18" s="575">
        <v>1152</v>
      </c>
    </row>
    <row r="19" spans="1:14" ht="11.25" customHeight="1">
      <c r="A19" s="76" t="s">
        <v>352</v>
      </c>
      <c r="B19" s="22"/>
      <c r="C19" s="263"/>
      <c r="D19" s="263"/>
      <c r="E19" s="263"/>
      <c r="F19" s="263"/>
      <c r="G19" s="263"/>
      <c r="H19" s="263"/>
      <c r="I19" s="263"/>
      <c r="J19" s="263"/>
      <c r="K19" s="263"/>
      <c r="L19" s="263"/>
      <c r="M19" s="263"/>
      <c r="N19" s="263"/>
    </row>
    <row r="20" spans="1:14" ht="11.25" customHeight="1">
      <c r="A20" s="75" t="s">
        <v>319</v>
      </c>
      <c r="C20" s="35">
        <v>159</v>
      </c>
      <c r="D20" s="31"/>
      <c r="E20" s="35">
        <v>8450</v>
      </c>
      <c r="F20" s="31"/>
      <c r="G20" s="35">
        <v>11200</v>
      </c>
      <c r="J20" s="35">
        <v>234</v>
      </c>
      <c r="L20" s="35">
        <v>14433</v>
      </c>
      <c r="N20" s="35">
        <v>17137</v>
      </c>
    </row>
    <row r="21" spans="1:14" ht="11.25" customHeight="1">
      <c r="A21" s="75" t="s">
        <v>478</v>
      </c>
      <c r="C21" s="61" t="s">
        <v>543</v>
      </c>
      <c r="D21" s="31"/>
      <c r="E21" s="44">
        <v>3</v>
      </c>
      <c r="F21" s="31"/>
      <c r="G21" s="44">
        <v>6</v>
      </c>
      <c r="H21" s="42"/>
      <c r="I21" s="42"/>
      <c r="J21" s="35">
        <v>35</v>
      </c>
      <c r="L21" s="35">
        <v>3438</v>
      </c>
      <c r="N21" s="44">
        <v>3474</v>
      </c>
    </row>
    <row r="22" spans="1:14" ht="11.25" customHeight="1">
      <c r="A22" s="92" t="s">
        <v>380</v>
      </c>
      <c r="B22" s="22"/>
      <c r="C22" s="515">
        <v>159</v>
      </c>
      <c r="D22" s="514"/>
      <c r="E22" s="593">
        <v>8454</v>
      </c>
      <c r="F22" s="514"/>
      <c r="G22" s="515">
        <v>11206</v>
      </c>
      <c r="H22" s="93"/>
      <c r="I22" s="536"/>
      <c r="J22" s="515">
        <v>268</v>
      </c>
      <c r="K22" s="536"/>
      <c r="L22" s="515">
        <v>17870</v>
      </c>
      <c r="M22" s="514"/>
      <c r="N22" s="515">
        <v>20611</v>
      </c>
    </row>
    <row r="23" spans="1:14" ht="11.25" customHeight="1">
      <c r="A23" s="76" t="s">
        <v>324</v>
      </c>
      <c r="C23" s="286"/>
      <c r="D23" s="286"/>
      <c r="E23" s="286"/>
      <c r="F23" s="286"/>
      <c r="G23" s="286"/>
      <c r="H23" s="286"/>
      <c r="I23" s="286"/>
      <c r="J23" s="286"/>
      <c r="K23" s="286"/>
      <c r="L23" s="286"/>
      <c r="M23" s="286"/>
      <c r="N23" s="286"/>
    </row>
    <row r="24" spans="1:14" ht="11.25" customHeight="1">
      <c r="A24" s="75" t="s">
        <v>284</v>
      </c>
      <c r="B24" s="22"/>
      <c r="C24" s="35">
        <v>466</v>
      </c>
      <c r="D24" s="31"/>
      <c r="E24" s="35">
        <v>50647</v>
      </c>
      <c r="F24" s="31"/>
      <c r="G24" s="35">
        <v>53485</v>
      </c>
      <c r="H24" s="91"/>
      <c r="I24" s="91"/>
      <c r="J24" s="35">
        <v>533</v>
      </c>
      <c r="L24" s="35">
        <v>59262</v>
      </c>
      <c r="N24" s="35">
        <v>62533</v>
      </c>
    </row>
    <row r="25" spans="1:14" ht="11.25" customHeight="1">
      <c r="A25" s="75" t="s">
        <v>289</v>
      </c>
      <c r="B25" s="22"/>
      <c r="C25" s="61" t="s">
        <v>543</v>
      </c>
      <c r="D25" s="31"/>
      <c r="E25" s="35">
        <v>9</v>
      </c>
      <c r="F25" s="31"/>
      <c r="G25" s="35">
        <v>9</v>
      </c>
      <c r="H25" s="91"/>
      <c r="I25" s="91"/>
      <c r="J25" s="267" t="s">
        <v>25</v>
      </c>
      <c r="K25" s="35"/>
      <c r="L25" s="267" t="s">
        <v>25</v>
      </c>
      <c r="M25" s="35"/>
      <c r="N25" s="267" t="s">
        <v>25</v>
      </c>
    </row>
    <row r="26" spans="1:14" ht="11.25" customHeight="1">
      <c r="A26" s="572" t="s">
        <v>298</v>
      </c>
      <c r="B26" s="22"/>
      <c r="C26" s="267" t="s">
        <v>25</v>
      </c>
      <c r="D26" s="35"/>
      <c r="E26" s="267" t="s">
        <v>25</v>
      </c>
      <c r="F26" s="35"/>
      <c r="G26" s="267" t="s">
        <v>25</v>
      </c>
      <c r="H26" s="91"/>
      <c r="I26" s="91"/>
      <c r="J26" s="61" t="s">
        <v>543</v>
      </c>
      <c r="L26" s="35">
        <v>3</v>
      </c>
      <c r="N26" s="35">
        <v>3</v>
      </c>
    </row>
    <row r="27" spans="1:14" ht="11.25" customHeight="1">
      <c r="A27" s="92" t="s">
        <v>380</v>
      </c>
      <c r="B27" s="22"/>
      <c r="C27" s="513">
        <v>466</v>
      </c>
      <c r="D27" s="514"/>
      <c r="E27" s="593">
        <v>50655</v>
      </c>
      <c r="F27" s="514"/>
      <c r="G27" s="513">
        <v>53494</v>
      </c>
      <c r="H27" s="93"/>
      <c r="I27" s="536"/>
      <c r="J27" s="513">
        <v>533</v>
      </c>
      <c r="K27" s="514"/>
      <c r="L27" s="513">
        <v>59264</v>
      </c>
      <c r="M27" s="514"/>
      <c r="N27" s="513">
        <v>62536</v>
      </c>
    </row>
    <row r="28" spans="1:14" ht="11.25" customHeight="1">
      <c r="A28" s="76" t="s">
        <v>325</v>
      </c>
      <c r="B28" s="22"/>
      <c r="C28" s="35"/>
      <c r="D28" s="35"/>
      <c r="E28" s="35"/>
      <c r="F28" s="35"/>
      <c r="G28" s="35"/>
      <c r="H28" s="35"/>
      <c r="I28" s="35"/>
      <c r="J28" s="35"/>
      <c r="K28" s="35"/>
      <c r="L28" s="35"/>
      <c r="M28" s="35"/>
      <c r="N28" s="35"/>
    </row>
    <row r="29" spans="1:14" ht="11.25" customHeight="1">
      <c r="A29" s="75" t="s">
        <v>320</v>
      </c>
      <c r="B29" s="22"/>
      <c r="C29" s="35">
        <v>108</v>
      </c>
      <c r="D29" s="31"/>
      <c r="E29" s="35">
        <v>5698</v>
      </c>
      <c r="F29" s="31"/>
      <c r="G29" s="35">
        <v>8806</v>
      </c>
      <c r="H29" s="62"/>
      <c r="I29" s="62"/>
      <c r="J29" s="35">
        <v>37</v>
      </c>
      <c r="L29" s="35">
        <v>2777</v>
      </c>
      <c r="N29" s="35">
        <v>4030</v>
      </c>
    </row>
    <row r="30" spans="1:14" ht="11.25" customHeight="1">
      <c r="A30" s="75" t="s">
        <v>478</v>
      </c>
      <c r="B30" s="22"/>
      <c r="C30" s="61" t="s">
        <v>543</v>
      </c>
      <c r="D30" s="31"/>
      <c r="E30" s="35">
        <v>104</v>
      </c>
      <c r="F30" s="31"/>
      <c r="G30" s="35">
        <v>150</v>
      </c>
      <c r="H30" s="62"/>
      <c r="I30" s="62"/>
      <c r="J30" s="35">
        <v>31</v>
      </c>
      <c r="L30" s="35">
        <v>1570</v>
      </c>
      <c r="N30" s="35">
        <v>2702</v>
      </c>
    </row>
    <row r="31" spans="1:14" ht="11.25" customHeight="1">
      <c r="A31" s="92" t="s">
        <v>380</v>
      </c>
      <c r="B31" s="22"/>
      <c r="C31" s="513">
        <v>108</v>
      </c>
      <c r="D31" s="514"/>
      <c r="E31" s="593">
        <v>5802</v>
      </c>
      <c r="F31" s="514"/>
      <c r="G31" s="513">
        <v>8956</v>
      </c>
      <c r="H31" s="93"/>
      <c r="I31" s="536"/>
      <c r="J31" s="593">
        <v>69</v>
      </c>
      <c r="K31" s="593"/>
      <c r="L31" s="593">
        <v>4347</v>
      </c>
      <c r="M31" s="593"/>
      <c r="N31" s="593">
        <v>6732</v>
      </c>
    </row>
    <row r="32" spans="1:14" ht="11.25" customHeight="1">
      <c r="A32" s="76" t="s">
        <v>374</v>
      </c>
      <c r="B32" s="22"/>
      <c r="C32" s="35"/>
      <c r="D32" s="35"/>
      <c r="E32" s="35"/>
      <c r="F32" s="35"/>
      <c r="G32" s="35"/>
      <c r="H32" s="35"/>
      <c r="I32" s="35"/>
      <c r="J32" s="35"/>
      <c r="K32" s="35"/>
      <c r="L32" s="35"/>
      <c r="M32" s="35"/>
      <c r="N32" s="35"/>
    </row>
    <row r="33" spans="1:14" ht="11.25" customHeight="1">
      <c r="A33" s="75" t="s">
        <v>316</v>
      </c>
      <c r="B33" s="22"/>
      <c r="C33" s="35">
        <v>2</v>
      </c>
      <c r="D33" s="31"/>
      <c r="E33" s="35">
        <v>685</v>
      </c>
      <c r="F33" s="31"/>
      <c r="G33" s="35">
        <v>737</v>
      </c>
      <c r="H33" s="91"/>
      <c r="I33" s="91"/>
      <c r="J33" s="35">
        <v>1</v>
      </c>
      <c r="L33" s="35">
        <v>290</v>
      </c>
      <c r="N33" s="35">
        <v>306</v>
      </c>
    </row>
    <row r="34" spans="1:14" ht="11.25" customHeight="1">
      <c r="A34" s="75" t="s">
        <v>289</v>
      </c>
      <c r="B34" s="22"/>
      <c r="C34" s="61" t="s">
        <v>543</v>
      </c>
      <c r="D34" s="31"/>
      <c r="E34" s="35">
        <v>30</v>
      </c>
      <c r="F34" s="31"/>
      <c r="G34" s="35">
        <v>33</v>
      </c>
      <c r="H34" s="29"/>
      <c r="I34" s="29"/>
      <c r="J34" s="267" t="s">
        <v>25</v>
      </c>
      <c r="K34" s="35"/>
      <c r="L34" s="267" t="s">
        <v>25</v>
      </c>
      <c r="M34" s="35"/>
      <c r="N34" s="267" t="s">
        <v>25</v>
      </c>
    </row>
    <row r="35" spans="1:14" ht="11.25" customHeight="1">
      <c r="A35" s="505" t="s">
        <v>320</v>
      </c>
      <c r="B35" s="22"/>
      <c r="C35" s="35">
        <v>86</v>
      </c>
      <c r="D35" s="31"/>
      <c r="E35" s="35">
        <v>5934</v>
      </c>
      <c r="F35" s="31"/>
      <c r="G35" s="35">
        <v>10301</v>
      </c>
      <c r="H35" s="29"/>
      <c r="I35" s="29"/>
      <c r="J35" s="35">
        <v>85</v>
      </c>
      <c r="L35" s="35">
        <v>5678</v>
      </c>
      <c r="N35" s="35">
        <v>10411</v>
      </c>
    </row>
    <row r="36" spans="1:14" ht="11.25" customHeight="1">
      <c r="A36" s="75" t="s">
        <v>472</v>
      </c>
      <c r="B36" s="22"/>
      <c r="C36" s="35">
        <v>1</v>
      </c>
      <c r="D36" s="31"/>
      <c r="E36" s="28">
        <v>485</v>
      </c>
      <c r="F36" s="413" t="s">
        <v>542</v>
      </c>
      <c r="G36" s="28">
        <v>588</v>
      </c>
      <c r="H36" s="413" t="s">
        <v>542</v>
      </c>
      <c r="I36" s="413"/>
      <c r="J36" s="61" t="s">
        <v>543</v>
      </c>
      <c r="L36" s="35">
        <v>269</v>
      </c>
      <c r="N36" s="28">
        <v>357</v>
      </c>
    </row>
    <row r="37" spans="1:14" ht="11.25" customHeight="1">
      <c r="A37" s="92" t="s">
        <v>380</v>
      </c>
      <c r="B37" s="22"/>
      <c r="C37" s="515">
        <v>89</v>
      </c>
      <c r="D37" s="514"/>
      <c r="E37" s="593">
        <v>7134</v>
      </c>
      <c r="F37" s="514"/>
      <c r="G37" s="515">
        <v>11660</v>
      </c>
      <c r="H37" s="94"/>
      <c r="I37" s="537"/>
      <c r="J37" s="515">
        <v>86</v>
      </c>
      <c r="K37" s="515"/>
      <c r="L37" s="515">
        <v>6237</v>
      </c>
      <c r="M37" s="515"/>
      <c r="N37" s="515">
        <v>11074</v>
      </c>
    </row>
    <row r="38" spans="1:14" ht="11.25" customHeight="1">
      <c r="A38" s="76" t="s">
        <v>326</v>
      </c>
      <c r="B38" s="22"/>
      <c r="C38" s="35"/>
      <c r="D38" s="35"/>
      <c r="E38" s="35"/>
      <c r="F38" s="35"/>
      <c r="G38" s="35"/>
      <c r="H38" s="35"/>
      <c r="I38" s="35"/>
      <c r="J38" s="35"/>
      <c r="K38" s="35"/>
      <c r="L38" s="35"/>
      <c r="M38" s="35"/>
      <c r="N38" s="35"/>
    </row>
    <row r="39" spans="1:14" ht="11.25" customHeight="1">
      <c r="A39" s="75" t="s">
        <v>284</v>
      </c>
      <c r="B39" s="22"/>
      <c r="C39" s="35">
        <v>448</v>
      </c>
      <c r="D39" s="31"/>
      <c r="E39" s="35">
        <v>46270</v>
      </c>
      <c r="F39" s="31"/>
      <c r="G39" s="35">
        <v>48206</v>
      </c>
      <c r="H39" s="91"/>
      <c r="I39" s="91"/>
      <c r="J39" s="35">
        <v>420</v>
      </c>
      <c r="L39" s="35">
        <v>46552</v>
      </c>
      <c r="N39" s="35">
        <v>48344</v>
      </c>
    </row>
    <row r="40" spans="1:14" ht="11.25" customHeight="1">
      <c r="A40" s="75" t="s">
        <v>292</v>
      </c>
      <c r="B40" s="22"/>
      <c r="C40" s="267" t="s">
        <v>25</v>
      </c>
      <c r="D40" s="35"/>
      <c r="E40" s="267" t="s">
        <v>25</v>
      </c>
      <c r="F40" s="35"/>
      <c r="G40" s="267" t="s">
        <v>25</v>
      </c>
      <c r="H40" s="91"/>
      <c r="I40" s="91"/>
      <c r="J40" s="61" t="s">
        <v>543</v>
      </c>
      <c r="L40" s="35">
        <v>178</v>
      </c>
      <c r="M40" s="35"/>
      <c r="N40" s="35">
        <v>202</v>
      </c>
    </row>
    <row r="41" spans="1:14" ht="11.25" customHeight="1">
      <c r="A41" s="75" t="s">
        <v>318</v>
      </c>
      <c r="B41" s="22"/>
      <c r="C41" s="35">
        <v>1</v>
      </c>
      <c r="D41" s="31"/>
      <c r="E41" s="35">
        <v>1492</v>
      </c>
      <c r="F41" s="31"/>
      <c r="G41" s="35">
        <v>1699</v>
      </c>
      <c r="H41" s="91"/>
      <c r="I41" s="91"/>
      <c r="J41" s="35">
        <v>1</v>
      </c>
      <c r="L41" s="35">
        <v>742</v>
      </c>
      <c r="N41" s="35">
        <v>840</v>
      </c>
    </row>
    <row r="42" spans="1:14" ht="11.25" customHeight="1">
      <c r="A42" s="75" t="s">
        <v>295</v>
      </c>
      <c r="B42" s="22"/>
      <c r="C42" s="35">
        <v>2</v>
      </c>
      <c r="D42" s="31"/>
      <c r="E42" s="35">
        <v>1521</v>
      </c>
      <c r="F42" s="31"/>
      <c r="G42" s="35">
        <v>1777</v>
      </c>
      <c r="H42" s="91"/>
      <c r="I42" s="91"/>
      <c r="J42" s="35">
        <v>3</v>
      </c>
      <c r="L42" s="35">
        <v>1000</v>
      </c>
      <c r="N42" s="35">
        <v>1134</v>
      </c>
    </row>
    <row r="43" spans="1:14" ht="11.25" customHeight="1">
      <c r="A43" s="572" t="s">
        <v>320</v>
      </c>
      <c r="B43" s="22"/>
      <c r="C43" s="267" t="s">
        <v>25</v>
      </c>
      <c r="D43" s="35"/>
      <c r="E43" s="267" t="s">
        <v>25</v>
      </c>
      <c r="F43" s="35"/>
      <c r="G43" s="267" t="s">
        <v>25</v>
      </c>
      <c r="H43" s="91"/>
      <c r="I43" s="91"/>
      <c r="J43" s="35">
        <v>22</v>
      </c>
      <c r="L43" s="35">
        <v>1639</v>
      </c>
      <c r="N43" s="35">
        <v>2673</v>
      </c>
    </row>
    <row r="44" spans="1:14" ht="11.25" customHeight="1">
      <c r="A44" s="75" t="s">
        <v>476</v>
      </c>
      <c r="B44" s="22"/>
      <c r="C44" s="61" t="s">
        <v>543</v>
      </c>
      <c r="D44" s="31"/>
      <c r="E44" s="35">
        <v>112</v>
      </c>
      <c r="F44" s="57" t="s">
        <v>542</v>
      </c>
      <c r="G44" s="35">
        <v>123</v>
      </c>
      <c r="H44" s="57" t="s">
        <v>542</v>
      </c>
      <c r="I44" s="57"/>
      <c r="J44" s="61" t="s">
        <v>543</v>
      </c>
      <c r="L44" s="35">
        <v>60</v>
      </c>
      <c r="N44" s="35">
        <v>69</v>
      </c>
    </row>
    <row r="45" spans="1:14" ht="11.25" customHeight="1">
      <c r="A45" s="92" t="s">
        <v>380</v>
      </c>
      <c r="B45" s="22"/>
      <c r="C45" s="513">
        <v>452</v>
      </c>
      <c r="D45" s="514"/>
      <c r="E45" s="593">
        <v>49395</v>
      </c>
      <c r="F45" s="514"/>
      <c r="G45" s="513">
        <v>51804</v>
      </c>
      <c r="H45" s="93"/>
      <c r="I45" s="536"/>
      <c r="J45" s="513">
        <v>446</v>
      </c>
      <c r="K45" s="513"/>
      <c r="L45" s="513">
        <v>50171</v>
      </c>
      <c r="M45" s="513"/>
      <c r="N45" s="513">
        <v>53261</v>
      </c>
    </row>
    <row r="46" spans="1:14" ht="11.25" customHeight="1">
      <c r="A46" s="76" t="s">
        <v>327</v>
      </c>
      <c r="B46" s="22"/>
      <c r="C46" s="35"/>
      <c r="D46" s="35"/>
      <c r="E46" s="35"/>
      <c r="F46" s="35"/>
      <c r="G46" s="35"/>
      <c r="H46" s="35"/>
      <c r="I46" s="35"/>
      <c r="J46" s="35"/>
      <c r="K46" s="35"/>
      <c r="L46" s="35"/>
      <c r="M46" s="35"/>
      <c r="N46" s="35"/>
    </row>
    <row r="47" spans="1:14" ht="11.25" customHeight="1">
      <c r="A47" s="75" t="s">
        <v>284</v>
      </c>
      <c r="B47" s="22"/>
      <c r="C47" s="35">
        <v>37</v>
      </c>
      <c r="D47" s="31"/>
      <c r="E47" s="35">
        <v>4543</v>
      </c>
      <c r="F47" s="31"/>
      <c r="G47" s="35">
        <v>4593</v>
      </c>
      <c r="H47" s="91"/>
      <c r="I47" s="91"/>
      <c r="J47" s="35">
        <v>89</v>
      </c>
      <c r="L47" s="35">
        <v>10761</v>
      </c>
      <c r="N47" s="35">
        <v>10881</v>
      </c>
    </row>
    <row r="48" spans="1:14" ht="11.25" customHeight="1">
      <c r="A48" s="75" t="s">
        <v>292</v>
      </c>
      <c r="B48" s="22"/>
      <c r="C48" s="35">
        <v>625</v>
      </c>
      <c r="D48" s="31"/>
      <c r="E48" s="35">
        <v>34428</v>
      </c>
      <c r="F48" s="31"/>
      <c r="G48" s="35">
        <v>53332</v>
      </c>
      <c r="H48" s="91"/>
      <c r="I48" s="91"/>
      <c r="J48" s="35">
        <v>615</v>
      </c>
      <c r="L48" s="35">
        <v>37698</v>
      </c>
      <c r="N48" s="35">
        <v>52181</v>
      </c>
    </row>
    <row r="49" spans="1:14" ht="11.25" customHeight="1">
      <c r="A49" s="572" t="s">
        <v>318</v>
      </c>
      <c r="B49" s="22"/>
      <c r="C49" s="61" t="s">
        <v>543</v>
      </c>
      <c r="D49" s="31"/>
      <c r="E49" s="35">
        <v>24</v>
      </c>
      <c r="F49" s="31"/>
      <c r="G49" s="35">
        <v>27</v>
      </c>
      <c r="H49" s="91"/>
      <c r="I49" s="91"/>
      <c r="J49" s="267" t="s">
        <v>25</v>
      </c>
      <c r="K49" s="35"/>
      <c r="L49" s="267" t="s">
        <v>25</v>
      </c>
      <c r="M49" s="35"/>
      <c r="N49" s="267" t="s">
        <v>25</v>
      </c>
    </row>
    <row r="50" spans="1:14" ht="11.25" customHeight="1">
      <c r="A50" s="572" t="s">
        <v>466</v>
      </c>
      <c r="B50" s="22"/>
      <c r="C50" s="35">
        <v>65</v>
      </c>
      <c r="D50" s="31"/>
      <c r="E50" s="35">
        <v>3529</v>
      </c>
      <c r="F50" s="31"/>
      <c r="G50" s="35">
        <v>10068</v>
      </c>
      <c r="H50" s="91"/>
      <c r="I50" s="91"/>
      <c r="J50" s="35">
        <v>32</v>
      </c>
      <c r="L50" s="35">
        <v>1744</v>
      </c>
      <c r="N50" s="35">
        <v>2779</v>
      </c>
    </row>
    <row r="51" spans="1:14" ht="11.25" customHeight="1">
      <c r="A51" s="92" t="s">
        <v>380</v>
      </c>
      <c r="B51" s="22"/>
      <c r="C51" s="513">
        <v>727</v>
      </c>
      <c r="D51" s="514"/>
      <c r="E51" s="593">
        <v>42524</v>
      </c>
      <c r="F51" s="514"/>
      <c r="G51" s="515">
        <v>68021</v>
      </c>
      <c r="H51" s="93"/>
      <c r="I51" s="536"/>
      <c r="J51" s="513">
        <v>736</v>
      </c>
      <c r="K51" s="536"/>
      <c r="L51" s="513">
        <v>50202</v>
      </c>
      <c r="M51" s="514"/>
      <c r="N51" s="515">
        <v>65841</v>
      </c>
    </row>
    <row r="52" spans="1:14" ht="11.25" customHeight="1">
      <c r="A52" s="76" t="s">
        <v>490</v>
      </c>
      <c r="B52" s="22"/>
      <c r="C52" s="35"/>
      <c r="D52" s="35"/>
      <c r="E52" s="35"/>
      <c r="F52" s="35"/>
      <c r="G52" s="35"/>
      <c r="H52" s="35"/>
      <c r="I52" s="35"/>
      <c r="J52" s="35"/>
      <c r="K52" s="35"/>
      <c r="L52" s="35"/>
      <c r="M52" s="35"/>
      <c r="N52" s="35"/>
    </row>
    <row r="53" spans="1:14" ht="11.25" customHeight="1">
      <c r="A53" s="381" t="s">
        <v>320</v>
      </c>
      <c r="B53" s="22"/>
      <c r="C53" s="267" t="s">
        <v>25</v>
      </c>
      <c r="D53" s="35"/>
      <c r="E53" s="267" t="s">
        <v>25</v>
      </c>
      <c r="F53" s="35"/>
      <c r="G53" s="267" t="s">
        <v>25</v>
      </c>
      <c r="H53" s="91"/>
      <c r="I53" s="91"/>
      <c r="J53" s="61" t="s">
        <v>543</v>
      </c>
      <c r="L53" s="35">
        <v>2</v>
      </c>
      <c r="M53" s="35"/>
      <c r="N53" s="35">
        <v>3</v>
      </c>
    </row>
    <row r="54" spans="1:14" ht="11.25" customHeight="1">
      <c r="A54" s="92" t="s">
        <v>492</v>
      </c>
      <c r="B54" s="22"/>
      <c r="C54" s="516" t="s">
        <v>25</v>
      </c>
      <c r="D54" s="513"/>
      <c r="E54" s="598" t="s">
        <v>25</v>
      </c>
      <c r="F54" s="513"/>
      <c r="G54" s="516" t="s">
        <v>25</v>
      </c>
      <c r="H54" s="93"/>
      <c r="I54" s="536"/>
      <c r="J54" s="599" t="s">
        <v>543</v>
      </c>
      <c r="K54" s="516"/>
      <c r="L54" s="515">
        <v>2</v>
      </c>
      <c r="M54" s="515"/>
      <c r="N54" s="515">
        <v>3</v>
      </c>
    </row>
    <row r="55" spans="1:14" ht="11.25" customHeight="1">
      <c r="A55" s="76" t="s">
        <v>328</v>
      </c>
      <c r="B55" s="22"/>
      <c r="C55" s="35"/>
      <c r="D55" s="35"/>
      <c r="E55" s="35"/>
      <c r="F55" s="35"/>
      <c r="G55" s="35"/>
      <c r="H55" s="35"/>
      <c r="I55" s="35"/>
      <c r="J55" s="35"/>
      <c r="K55" s="35"/>
      <c r="L55" s="35"/>
      <c r="M55" s="35"/>
      <c r="N55" s="35"/>
    </row>
    <row r="56" spans="1:14" ht="11.25" customHeight="1">
      <c r="A56" s="75" t="s">
        <v>719</v>
      </c>
      <c r="B56" s="22"/>
      <c r="C56" s="35">
        <v>1277</v>
      </c>
      <c r="D56" s="31"/>
      <c r="E56" s="35">
        <v>113177</v>
      </c>
      <c r="F56" s="31"/>
      <c r="G56" s="35">
        <v>116962</v>
      </c>
      <c r="H56" s="91"/>
      <c r="I56" s="91"/>
      <c r="J56" s="35">
        <v>1301</v>
      </c>
      <c r="L56" s="35">
        <v>122429</v>
      </c>
      <c r="N56" s="35">
        <v>125689</v>
      </c>
    </row>
    <row r="57" spans="1:14" ht="11.25" customHeight="1">
      <c r="A57" s="75" t="s">
        <v>509</v>
      </c>
      <c r="B57" s="22"/>
      <c r="C57" s="35">
        <v>20</v>
      </c>
      <c r="D57" s="31"/>
      <c r="E57" s="35">
        <v>1678</v>
      </c>
      <c r="F57" s="31"/>
      <c r="G57" s="35">
        <v>3383</v>
      </c>
      <c r="H57" s="278"/>
      <c r="I57" s="95"/>
      <c r="J57" s="35">
        <v>163</v>
      </c>
      <c r="L57" s="35">
        <v>11736</v>
      </c>
      <c r="N57" s="35">
        <v>11846</v>
      </c>
    </row>
    <row r="58" spans="1:14" ht="11.25" customHeight="1">
      <c r="A58" s="92" t="s">
        <v>720</v>
      </c>
      <c r="B58" s="22"/>
      <c r="C58" s="517">
        <v>1298</v>
      </c>
      <c r="D58" s="518"/>
      <c r="E58" s="597">
        <v>114855</v>
      </c>
      <c r="F58" s="518"/>
      <c r="G58" s="517">
        <v>120345</v>
      </c>
      <c r="H58" s="270"/>
      <c r="I58" s="538"/>
      <c r="J58" s="582">
        <v>1464</v>
      </c>
      <c r="K58" s="583"/>
      <c r="L58" s="582">
        <v>134165</v>
      </c>
      <c r="M58" s="583"/>
      <c r="N58" s="584">
        <v>137535</v>
      </c>
    </row>
    <row r="59" spans="1:14" ht="11.25" customHeight="1">
      <c r="A59" s="76" t="s">
        <v>477</v>
      </c>
      <c r="B59" s="22"/>
      <c r="C59" s="293">
        <v>5</v>
      </c>
      <c r="D59" s="520"/>
      <c r="E59" s="296">
        <v>474</v>
      </c>
      <c r="F59" s="520"/>
      <c r="G59" s="293">
        <v>495</v>
      </c>
      <c r="H59" s="269"/>
      <c r="I59" s="539"/>
      <c r="J59" s="600" t="s">
        <v>543</v>
      </c>
      <c r="K59" s="520"/>
      <c r="L59" s="293">
        <v>7</v>
      </c>
      <c r="M59" s="520"/>
      <c r="N59" s="293">
        <v>7</v>
      </c>
    </row>
    <row r="60" spans="1:14" ht="11.25" customHeight="1">
      <c r="A60" s="76" t="s">
        <v>329</v>
      </c>
      <c r="B60" s="22"/>
      <c r="C60" s="35"/>
      <c r="D60" s="35"/>
      <c r="E60" s="35"/>
      <c r="F60" s="35"/>
      <c r="G60" s="35"/>
      <c r="H60" s="35"/>
      <c r="I60" s="35"/>
      <c r="J60" s="35"/>
      <c r="K60" s="35"/>
      <c r="L60" s="35"/>
      <c r="M60" s="35"/>
      <c r="N60" s="35"/>
    </row>
    <row r="61" spans="1:14" ht="11.25" customHeight="1">
      <c r="A61" s="75" t="s">
        <v>287</v>
      </c>
      <c r="B61" s="22"/>
      <c r="C61" s="61" t="s">
        <v>543</v>
      </c>
      <c r="D61" s="35"/>
      <c r="E61" s="35">
        <v>223</v>
      </c>
      <c r="F61" s="35"/>
      <c r="G61" s="35">
        <v>226</v>
      </c>
      <c r="H61" s="35"/>
      <c r="I61" s="35"/>
      <c r="J61" s="61" t="s">
        <v>543</v>
      </c>
      <c r="L61" s="35">
        <v>180</v>
      </c>
      <c r="M61" s="35"/>
      <c r="N61" s="35">
        <v>183</v>
      </c>
    </row>
    <row r="62" spans="1:14" ht="11.25" customHeight="1">
      <c r="A62" s="75" t="s">
        <v>721</v>
      </c>
      <c r="B62" s="22"/>
      <c r="C62" s="35">
        <v>494</v>
      </c>
      <c r="D62" s="31"/>
      <c r="E62" s="35">
        <v>53196</v>
      </c>
      <c r="F62" s="31"/>
      <c r="G62" s="35">
        <v>68551</v>
      </c>
      <c r="H62" s="28"/>
      <c r="I62" s="28"/>
      <c r="J62" s="35">
        <v>335</v>
      </c>
      <c r="L62" s="35">
        <v>44096</v>
      </c>
      <c r="N62" s="35">
        <v>55691</v>
      </c>
    </row>
    <row r="63" spans="1:14" ht="11.25" customHeight="1">
      <c r="A63" s="92" t="s">
        <v>722</v>
      </c>
      <c r="B63" s="22"/>
      <c r="C63" s="573">
        <v>494</v>
      </c>
      <c r="D63" s="574"/>
      <c r="E63" s="590">
        <v>53418</v>
      </c>
      <c r="F63" s="574"/>
      <c r="G63" s="573">
        <v>68777</v>
      </c>
      <c r="H63" s="576"/>
      <c r="I63" s="576"/>
      <c r="J63" s="573">
        <v>336</v>
      </c>
      <c r="K63" s="574"/>
      <c r="L63" s="573">
        <v>44277</v>
      </c>
      <c r="M63" s="574"/>
      <c r="N63" s="575">
        <v>55874</v>
      </c>
    </row>
    <row r="64" spans="1:14" ht="11.25" customHeight="1">
      <c r="A64" s="80" t="s">
        <v>733</v>
      </c>
      <c r="B64" s="22"/>
      <c r="C64" s="577"/>
      <c r="D64" s="578"/>
      <c r="E64" s="577"/>
      <c r="F64" s="578"/>
      <c r="G64" s="577"/>
      <c r="H64" s="577"/>
      <c r="I64" s="577"/>
      <c r="J64" s="577"/>
      <c r="K64" s="578"/>
      <c r="L64" s="577"/>
      <c r="M64" s="578"/>
    </row>
    <row r="65" spans="1:14" ht="11.25" customHeight="1">
      <c r="A65" s="382" t="s">
        <v>284</v>
      </c>
      <c r="B65" s="22"/>
      <c r="C65" s="28">
        <v>334</v>
      </c>
      <c r="D65" s="31"/>
      <c r="E65" s="28">
        <v>50830</v>
      </c>
      <c r="F65" s="57" t="s">
        <v>542</v>
      </c>
      <c r="G65" s="28">
        <v>51559</v>
      </c>
      <c r="H65" s="57" t="s">
        <v>542</v>
      </c>
      <c r="I65" s="28"/>
      <c r="J65" s="28">
        <v>307</v>
      </c>
      <c r="L65" s="28">
        <v>55868</v>
      </c>
      <c r="N65" s="28">
        <v>56544</v>
      </c>
    </row>
    <row r="66" spans="1:14" ht="11.25" customHeight="1">
      <c r="A66" s="75" t="s">
        <v>474</v>
      </c>
      <c r="B66" s="22"/>
      <c r="C66" s="267" t="s">
        <v>25</v>
      </c>
      <c r="D66" s="35"/>
      <c r="E66" s="267" t="s">
        <v>25</v>
      </c>
      <c r="F66" s="35"/>
      <c r="G66" s="267" t="s">
        <v>25</v>
      </c>
      <c r="H66" s="28"/>
      <c r="I66" s="28"/>
      <c r="J66" s="61" t="s">
        <v>543</v>
      </c>
      <c r="L66" s="28">
        <v>40</v>
      </c>
      <c r="N66" s="28">
        <v>41</v>
      </c>
    </row>
    <row r="67" spans="1:14" ht="11.25" customHeight="1">
      <c r="A67" s="92" t="s">
        <v>492</v>
      </c>
      <c r="B67" s="22"/>
      <c r="C67" s="575">
        <v>334</v>
      </c>
      <c r="D67" s="574"/>
      <c r="E67" s="590">
        <v>50830</v>
      </c>
      <c r="F67" s="668"/>
      <c r="G67" s="575">
        <v>51559</v>
      </c>
      <c r="H67" s="668"/>
      <c r="I67" s="575"/>
      <c r="J67" s="575">
        <v>307</v>
      </c>
      <c r="K67" s="574"/>
      <c r="L67" s="575">
        <v>55907</v>
      </c>
      <c r="M67" s="574"/>
      <c r="N67" s="575">
        <v>56584</v>
      </c>
    </row>
    <row r="68" spans="1:14" ht="11.25" customHeight="1">
      <c r="A68" s="80" t="s">
        <v>538</v>
      </c>
      <c r="B68" s="22"/>
      <c r="C68" s="261"/>
      <c r="D68" s="511"/>
      <c r="E68" s="261"/>
      <c r="F68" s="511"/>
      <c r="G68" s="261"/>
      <c r="H68" s="512"/>
      <c r="I68" s="512"/>
      <c r="J68" s="261"/>
      <c r="K68" s="511"/>
      <c r="L68" s="261"/>
      <c r="M68" s="511"/>
      <c r="N68" s="261"/>
    </row>
    <row r="69" spans="1:14" ht="11.25" customHeight="1">
      <c r="A69" s="382" t="s">
        <v>296</v>
      </c>
      <c r="B69" s="22"/>
      <c r="C69" s="35">
        <v>253</v>
      </c>
      <c r="D69" s="31"/>
      <c r="E69" s="64">
        <v>14007</v>
      </c>
      <c r="F69" s="31"/>
      <c r="G69" s="35">
        <v>20373</v>
      </c>
      <c r="H69" s="42"/>
      <c r="I69" s="42"/>
      <c r="J69" s="35">
        <v>290</v>
      </c>
      <c r="L69" s="35">
        <v>18526</v>
      </c>
      <c r="N69" s="35">
        <v>29525</v>
      </c>
    </row>
    <row r="70" spans="1:14" ht="11.25" customHeight="1">
      <c r="A70" s="75" t="s">
        <v>473</v>
      </c>
      <c r="B70" s="22"/>
      <c r="C70" s="61" t="s">
        <v>543</v>
      </c>
      <c r="D70" s="31"/>
      <c r="E70" s="64">
        <v>6</v>
      </c>
      <c r="F70" s="31"/>
      <c r="G70" s="35">
        <v>15</v>
      </c>
      <c r="H70" s="42"/>
      <c r="I70" s="42"/>
      <c r="J70" s="35">
        <v>35</v>
      </c>
      <c r="L70" s="35">
        <v>1723</v>
      </c>
      <c r="N70" s="35">
        <v>3440</v>
      </c>
    </row>
    <row r="71" spans="1:14" ht="11.25" customHeight="1">
      <c r="A71" s="92" t="s">
        <v>492</v>
      </c>
      <c r="B71" s="22"/>
      <c r="C71" s="513">
        <v>253</v>
      </c>
      <c r="D71" s="514"/>
      <c r="E71" s="596">
        <v>14013</v>
      </c>
      <c r="F71" s="514"/>
      <c r="G71" s="513">
        <v>20388</v>
      </c>
      <c r="H71" s="510"/>
      <c r="I71" s="541"/>
      <c r="J71" s="573">
        <v>325</v>
      </c>
      <c r="K71" s="574"/>
      <c r="L71" s="573">
        <v>20249</v>
      </c>
      <c r="M71" s="574"/>
      <c r="N71" s="573">
        <v>32965</v>
      </c>
    </row>
    <row r="72" spans="1:14" ht="11.25" customHeight="1">
      <c r="A72" s="76" t="s">
        <v>330</v>
      </c>
      <c r="C72" s="286"/>
      <c r="D72" s="286"/>
      <c r="E72" s="286"/>
      <c r="F72" s="286"/>
      <c r="G72" s="286"/>
      <c r="H72" s="286"/>
      <c r="I72" s="286"/>
      <c r="J72" s="286"/>
      <c r="K72" s="286"/>
      <c r="L72" s="286"/>
      <c r="M72" s="286"/>
      <c r="N72" s="286"/>
    </row>
    <row r="73" spans="1:14" ht="11.25" customHeight="1">
      <c r="A73" s="381" t="s">
        <v>486</v>
      </c>
      <c r="C73" s="267" t="s">
        <v>25</v>
      </c>
      <c r="D73" s="35"/>
      <c r="E73" s="267" t="s">
        <v>25</v>
      </c>
      <c r="F73" s="35"/>
      <c r="G73" s="267" t="s">
        <v>25</v>
      </c>
      <c r="H73" s="286"/>
      <c r="I73" s="286"/>
      <c r="J73" s="286">
        <v>25</v>
      </c>
      <c r="L73" s="286">
        <v>3237</v>
      </c>
      <c r="M73" s="286"/>
      <c r="N73" s="286">
        <v>3431</v>
      </c>
    </row>
    <row r="74" spans="1:14" ht="11.25" customHeight="1">
      <c r="A74" s="381" t="s">
        <v>467</v>
      </c>
      <c r="C74" s="28">
        <v>32</v>
      </c>
      <c r="D74" s="31"/>
      <c r="E74" s="28">
        <v>3270</v>
      </c>
      <c r="F74" s="31"/>
      <c r="G74" s="28">
        <v>3642</v>
      </c>
      <c r="H74" s="42"/>
      <c r="I74" s="42"/>
      <c r="J74" s="286">
        <v>13</v>
      </c>
      <c r="L74" s="286">
        <v>955</v>
      </c>
      <c r="N74" s="286">
        <v>1421</v>
      </c>
    </row>
    <row r="75" spans="1:14" ht="11.25" customHeight="1">
      <c r="A75" s="75" t="s">
        <v>315</v>
      </c>
      <c r="C75" s="28">
        <v>297</v>
      </c>
      <c r="D75" s="31"/>
      <c r="E75" s="28">
        <v>30688</v>
      </c>
      <c r="F75" s="31"/>
      <c r="G75" s="28">
        <v>31301</v>
      </c>
      <c r="H75" s="42"/>
      <c r="I75" s="42"/>
      <c r="J75" s="286">
        <v>189</v>
      </c>
      <c r="L75" s="286">
        <v>22720</v>
      </c>
      <c r="N75" s="286">
        <v>23053</v>
      </c>
    </row>
    <row r="76" spans="1:14" ht="11.25" customHeight="1">
      <c r="A76" s="75" t="s">
        <v>317</v>
      </c>
      <c r="C76" s="28">
        <v>242</v>
      </c>
      <c r="D76" s="31"/>
      <c r="E76" s="28">
        <v>12718</v>
      </c>
      <c r="F76" s="31"/>
      <c r="G76" s="28">
        <v>17523</v>
      </c>
      <c r="H76" s="42"/>
      <c r="I76" s="42"/>
      <c r="J76" s="286">
        <v>167</v>
      </c>
      <c r="L76" s="286">
        <v>10827</v>
      </c>
      <c r="N76" s="286">
        <v>14991</v>
      </c>
    </row>
    <row r="77" spans="1:14" ht="11.25" customHeight="1">
      <c r="A77" s="505" t="s">
        <v>535</v>
      </c>
      <c r="C77" s="28">
        <v>50</v>
      </c>
      <c r="D77" s="31"/>
      <c r="E77" s="28">
        <v>2500</v>
      </c>
      <c r="F77" s="31"/>
      <c r="G77" s="28">
        <v>2500</v>
      </c>
      <c r="H77" s="42"/>
      <c r="I77" s="42"/>
      <c r="J77" s="286">
        <v>78</v>
      </c>
      <c r="L77" s="286">
        <v>4408</v>
      </c>
      <c r="N77" s="286">
        <v>4409</v>
      </c>
    </row>
    <row r="78" spans="1:14" ht="11.25" customHeight="1">
      <c r="A78" s="75" t="s">
        <v>503</v>
      </c>
      <c r="C78" s="267" t="s">
        <v>25</v>
      </c>
      <c r="D78" s="35"/>
      <c r="E78" s="267" t="s">
        <v>25</v>
      </c>
      <c r="F78" s="35"/>
      <c r="G78" s="267" t="s">
        <v>25</v>
      </c>
      <c r="H78" s="62"/>
      <c r="I78" s="62"/>
      <c r="J78" s="286">
        <v>204</v>
      </c>
      <c r="L78" s="286">
        <v>11056</v>
      </c>
      <c r="N78" s="286">
        <v>20807</v>
      </c>
    </row>
    <row r="79" spans="1:14" ht="11.25" customHeight="1">
      <c r="A79" s="572" t="s">
        <v>319</v>
      </c>
      <c r="C79" s="267" t="s">
        <v>25</v>
      </c>
      <c r="D79" s="35"/>
      <c r="E79" s="267" t="s">
        <v>25</v>
      </c>
      <c r="F79" s="35"/>
      <c r="G79" s="267" t="s">
        <v>25</v>
      </c>
      <c r="H79" s="62"/>
      <c r="I79" s="62"/>
      <c r="J79" s="286">
        <v>44</v>
      </c>
      <c r="L79" s="286">
        <v>2959</v>
      </c>
      <c r="N79" s="286">
        <v>4298</v>
      </c>
    </row>
    <row r="80" spans="1:14" ht="11.25" customHeight="1">
      <c r="A80" s="75" t="s">
        <v>320</v>
      </c>
      <c r="C80" s="28">
        <v>4651</v>
      </c>
      <c r="D80" s="31"/>
      <c r="E80" s="28">
        <v>301006</v>
      </c>
      <c r="F80" s="31"/>
      <c r="G80" s="28">
        <v>388206</v>
      </c>
      <c r="H80" s="62"/>
      <c r="I80" s="62"/>
      <c r="J80" s="286">
        <v>3590</v>
      </c>
      <c r="L80" s="286">
        <v>258489</v>
      </c>
      <c r="N80" s="286">
        <v>349920</v>
      </c>
    </row>
    <row r="81" spans="1:14" ht="11.25" customHeight="1">
      <c r="A81" s="505" t="s">
        <v>507</v>
      </c>
      <c r="C81" s="267" t="s">
        <v>25</v>
      </c>
      <c r="D81" s="35"/>
      <c r="E81" s="267" t="s">
        <v>25</v>
      </c>
      <c r="F81" s="35"/>
      <c r="G81" s="267" t="s">
        <v>25</v>
      </c>
      <c r="H81" s="62"/>
      <c r="I81" s="62"/>
      <c r="J81" s="286">
        <v>172</v>
      </c>
      <c r="L81" s="286">
        <v>13302</v>
      </c>
      <c r="N81" s="286">
        <v>17955</v>
      </c>
    </row>
    <row r="82" spans="1:14" ht="11.25" customHeight="1">
      <c r="A82" s="281" t="s">
        <v>466</v>
      </c>
      <c r="C82" s="267" t="s">
        <v>25</v>
      </c>
      <c r="D82" s="35"/>
      <c r="E82" s="267" t="s">
        <v>25</v>
      </c>
      <c r="F82" s="35"/>
      <c r="G82" s="267" t="s">
        <v>25</v>
      </c>
      <c r="H82" s="42"/>
      <c r="I82" s="42"/>
      <c r="J82" s="286">
        <v>855</v>
      </c>
      <c r="L82" s="286">
        <v>43594</v>
      </c>
      <c r="M82" s="35"/>
      <c r="N82" s="286">
        <v>69164</v>
      </c>
    </row>
    <row r="83" spans="1:14" ht="11.25" customHeight="1">
      <c r="A83" s="75" t="s">
        <v>536</v>
      </c>
      <c r="C83" s="78">
        <v>35</v>
      </c>
      <c r="D83" s="413" t="s">
        <v>542</v>
      </c>
      <c r="E83" s="78">
        <v>12652</v>
      </c>
      <c r="F83" s="413" t="s">
        <v>542</v>
      </c>
      <c r="G83" s="78">
        <v>14768</v>
      </c>
      <c r="H83" s="413" t="s">
        <v>542</v>
      </c>
      <c r="I83" s="413"/>
      <c r="J83" s="286">
        <v>12</v>
      </c>
      <c r="L83" s="286">
        <v>12016</v>
      </c>
      <c r="N83" s="286">
        <v>13312</v>
      </c>
    </row>
    <row r="84" spans="1:14" ht="11.25" customHeight="1">
      <c r="A84" s="92" t="s">
        <v>380</v>
      </c>
      <c r="B84" s="22"/>
      <c r="C84" s="77">
        <v>5307</v>
      </c>
      <c r="D84" s="79"/>
      <c r="E84" s="595">
        <v>362835</v>
      </c>
      <c r="F84" s="514"/>
      <c r="G84" s="65">
        <v>457940</v>
      </c>
      <c r="H84" s="79"/>
      <c r="I84" s="79"/>
      <c r="J84" s="65">
        <v>5347</v>
      </c>
      <c r="K84" s="65"/>
      <c r="L84" s="65">
        <v>383562</v>
      </c>
      <c r="M84" s="65"/>
      <c r="N84" s="65">
        <v>522761</v>
      </c>
    </row>
    <row r="85" spans="1:14" ht="11.25" customHeight="1">
      <c r="A85" s="76" t="s">
        <v>331</v>
      </c>
      <c r="B85" s="22"/>
      <c r="C85" s="35"/>
      <c r="D85" s="35"/>
      <c r="E85" s="35"/>
      <c r="F85" s="35"/>
      <c r="G85" s="35"/>
      <c r="H85" s="35"/>
      <c r="I85" s="35"/>
      <c r="J85" s="35"/>
      <c r="K85" s="35"/>
      <c r="L85" s="35"/>
      <c r="M85" s="35"/>
      <c r="N85" s="35"/>
    </row>
    <row r="86" spans="1:14" ht="11.25" customHeight="1">
      <c r="A86" s="75" t="s">
        <v>293</v>
      </c>
      <c r="B86" s="22"/>
      <c r="C86" s="28">
        <v>556</v>
      </c>
      <c r="D86" s="31"/>
      <c r="E86" s="28">
        <v>62948</v>
      </c>
      <c r="F86" s="31"/>
      <c r="G86" s="28">
        <v>69826</v>
      </c>
      <c r="H86" s="95"/>
      <c r="I86" s="95"/>
      <c r="J86" s="28">
        <v>279</v>
      </c>
      <c r="L86" s="28">
        <v>37324</v>
      </c>
      <c r="N86" s="28">
        <v>39493</v>
      </c>
    </row>
    <row r="87" spans="1:14" ht="11.25" customHeight="1">
      <c r="A87" s="75" t="s">
        <v>320</v>
      </c>
      <c r="B87" s="22"/>
      <c r="C87" s="28">
        <v>90</v>
      </c>
      <c r="D87" s="35"/>
      <c r="E87" s="28">
        <v>9846</v>
      </c>
      <c r="F87" s="35"/>
      <c r="G87" s="28">
        <v>9846</v>
      </c>
      <c r="H87" s="91"/>
      <c r="I87" s="91"/>
      <c r="J87" s="28">
        <v>99</v>
      </c>
      <c r="L87" s="28">
        <v>13775</v>
      </c>
      <c r="M87" s="35"/>
      <c r="N87" s="28">
        <v>13837</v>
      </c>
    </row>
    <row r="88" spans="1:14" ht="11.25" customHeight="1">
      <c r="A88" s="75" t="s">
        <v>473</v>
      </c>
      <c r="B88" s="22"/>
      <c r="C88" s="61" t="s">
        <v>543</v>
      </c>
      <c r="D88" s="31"/>
      <c r="E88" s="28">
        <v>29</v>
      </c>
      <c r="F88" s="91" t="s">
        <v>542</v>
      </c>
      <c r="G88" s="28">
        <v>32</v>
      </c>
      <c r="H88" s="91" t="s">
        <v>542</v>
      </c>
      <c r="I88" s="91"/>
      <c r="J88" s="28">
        <v>7</v>
      </c>
      <c r="L88" s="28">
        <v>589</v>
      </c>
      <c r="N88" s="28">
        <v>589</v>
      </c>
    </row>
    <row r="89" spans="1:14" ht="11.25" customHeight="1">
      <c r="A89" s="92" t="s">
        <v>380</v>
      </c>
      <c r="B89" s="22"/>
      <c r="C89" s="513">
        <v>646</v>
      </c>
      <c r="D89" s="514"/>
      <c r="E89" s="593">
        <v>72822</v>
      </c>
      <c r="F89" s="514"/>
      <c r="G89" s="515">
        <v>79704</v>
      </c>
      <c r="H89" s="93"/>
      <c r="I89" s="536"/>
      <c r="J89" s="513">
        <v>385</v>
      </c>
      <c r="K89" s="514"/>
      <c r="L89" s="513">
        <v>51688</v>
      </c>
      <c r="M89" s="514"/>
      <c r="N89" s="513">
        <v>53919</v>
      </c>
    </row>
    <row r="90" spans="1:14" ht="11.25" customHeight="1">
      <c r="A90" s="76" t="s">
        <v>332</v>
      </c>
      <c r="B90" s="22"/>
      <c r="C90" s="35"/>
      <c r="D90" s="35"/>
      <c r="E90" s="35"/>
      <c r="F90" s="35"/>
      <c r="G90" s="35"/>
      <c r="H90" s="35"/>
      <c r="I90" s="35"/>
      <c r="J90" s="35"/>
      <c r="K90" s="35"/>
      <c r="L90" s="35"/>
      <c r="M90" s="35"/>
      <c r="N90" s="35"/>
    </row>
    <row r="91" spans="1:14" ht="11.25" customHeight="1">
      <c r="A91" s="75" t="s">
        <v>287</v>
      </c>
      <c r="B91" s="22"/>
      <c r="C91" s="61" t="s">
        <v>543</v>
      </c>
      <c r="D91" s="35"/>
      <c r="E91" s="35">
        <v>33</v>
      </c>
      <c r="F91" s="35"/>
      <c r="G91" s="35">
        <v>36</v>
      </c>
      <c r="H91" s="35"/>
      <c r="I91" s="35"/>
      <c r="J91" s="61" t="s">
        <v>543</v>
      </c>
      <c r="L91" s="35">
        <v>11</v>
      </c>
      <c r="M91" s="35"/>
      <c r="N91" s="35">
        <v>12</v>
      </c>
    </row>
    <row r="92" spans="1:14" ht="11.25" customHeight="1">
      <c r="A92" s="75" t="s">
        <v>315</v>
      </c>
      <c r="B92" s="22"/>
      <c r="C92" s="35">
        <v>25</v>
      </c>
      <c r="D92" s="31"/>
      <c r="E92" s="35">
        <v>2845</v>
      </c>
      <c r="F92" s="31"/>
      <c r="G92" s="35">
        <v>3043</v>
      </c>
      <c r="H92" s="42"/>
      <c r="I92" s="42"/>
      <c r="J92" s="35">
        <v>44</v>
      </c>
      <c r="L92" s="35">
        <v>4813</v>
      </c>
      <c r="N92" s="35">
        <v>5101</v>
      </c>
    </row>
    <row r="93" spans="1:14" ht="11.25" customHeight="1">
      <c r="A93" s="75" t="s">
        <v>293</v>
      </c>
      <c r="B93" s="22"/>
      <c r="C93" s="35">
        <v>76</v>
      </c>
      <c r="D93" s="31"/>
      <c r="E93" s="35">
        <v>5119</v>
      </c>
      <c r="F93" s="31"/>
      <c r="G93" s="35">
        <v>8079</v>
      </c>
      <c r="H93" s="42"/>
      <c r="I93" s="42"/>
      <c r="J93" s="35">
        <v>67</v>
      </c>
      <c r="L93" s="35">
        <v>3593</v>
      </c>
      <c r="N93" s="35">
        <v>5763</v>
      </c>
    </row>
    <row r="94" spans="1:14" ht="11.25" customHeight="1">
      <c r="A94" s="75" t="s">
        <v>297</v>
      </c>
      <c r="B94" s="22"/>
      <c r="C94" s="35">
        <v>1</v>
      </c>
      <c r="D94" s="31"/>
      <c r="E94" s="35">
        <v>91</v>
      </c>
      <c r="F94" s="31"/>
      <c r="G94" s="35">
        <v>96</v>
      </c>
      <c r="H94" s="42"/>
      <c r="I94" s="42"/>
      <c r="J94" s="35">
        <v>1</v>
      </c>
      <c r="L94" s="35">
        <v>163</v>
      </c>
      <c r="N94" s="35">
        <v>231</v>
      </c>
    </row>
    <row r="95" spans="1:14" ht="11.25" customHeight="1">
      <c r="A95" s="505" t="s">
        <v>507</v>
      </c>
      <c r="B95" s="22"/>
      <c r="C95" s="267" t="s">
        <v>25</v>
      </c>
      <c r="D95" s="35"/>
      <c r="E95" s="267" t="s">
        <v>25</v>
      </c>
      <c r="F95" s="35"/>
      <c r="G95" s="267" t="s">
        <v>25</v>
      </c>
      <c r="H95" s="42"/>
      <c r="I95" s="42"/>
      <c r="J95" s="35">
        <v>1</v>
      </c>
      <c r="L95" s="35">
        <v>90</v>
      </c>
      <c r="M95" s="35"/>
      <c r="N95" s="35">
        <v>175</v>
      </c>
    </row>
    <row r="96" spans="1:14" ht="11.25" customHeight="1">
      <c r="A96" s="381" t="s">
        <v>466</v>
      </c>
      <c r="B96" s="22"/>
      <c r="C96" s="35">
        <v>314</v>
      </c>
      <c r="D96" s="31"/>
      <c r="E96" s="35">
        <v>17350</v>
      </c>
      <c r="F96" s="31"/>
      <c r="G96" s="35">
        <v>40108</v>
      </c>
      <c r="H96" s="42"/>
      <c r="I96" s="42"/>
      <c r="J96" s="35">
        <v>149</v>
      </c>
      <c r="L96" s="35">
        <v>7525</v>
      </c>
      <c r="N96" s="35">
        <v>14066</v>
      </c>
    </row>
    <row r="97" spans="1:26" ht="11.25" customHeight="1">
      <c r="A97" s="75" t="s">
        <v>487</v>
      </c>
      <c r="B97" s="22"/>
      <c r="C97" s="61" t="s">
        <v>543</v>
      </c>
      <c r="D97" s="413" t="s">
        <v>542</v>
      </c>
      <c r="E97" s="35">
        <v>189</v>
      </c>
      <c r="F97" s="413" t="s">
        <v>542</v>
      </c>
      <c r="G97" s="35">
        <v>226</v>
      </c>
      <c r="H97" s="413" t="s">
        <v>542</v>
      </c>
      <c r="I97" s="413"/>
      <c r="J97" s="61" t="s">
        <v>543</v>
      </c>
      <c r="L97" s="35">
        <v>95</v>
      </c>
      <c r="N97" s="35">
        <v>121</v>
      </c>
    </row>
    <row r="98" spans="1:26" ht="11.25" customHeight="1">
      <c r="A98" s="92" t="s">
        <v>380</v>
      </c>
      <c r="B98" s="22"/>
      <c r="C98" s="513">
        <v>417</v>
      </c>
      <c r="D98" s="514"/>
      <c r="E98" s="591">
        <v>25628</v>
      </c>
      <c r="F98" s="514"/>
      <c r="G98" s="513">
        <v>51588</v>
      </c>
      <c r="H98" s="79"/>
      <c r="I98" s="541"/>
      <c r="J98" s="513">
        <v>262</v>
      </c>
      <c r="K98" s="514"/>
      <c r="L98" s="513">
        <v>16290</v>
      </c>
      <c r="M98" s="514"/>
      <c r="N98" s="513">
        <v>25468</v>
      </c>
    </row>
    <row r="99" spans="1:26" ht="11.25" customHeight="1">
      <c r="A99" s="76" t="s">
        <v>333</v>
      </c>
      <c r="C99" s="286"/>
      <c r="D99" s="286"/>
      <c r="E99" s="286"/>
      <c r="F99" s="286"/>
      <c r="G99" s="286"/>
      <c r="H99" s="286"/>
      <c r="I99" s="286"/>
      <c r="J99" s="286"/>
      <c r="K99" s="286"/>
      <c r="L99" s="286"/>
      <c r="M99" s="286"/>
      <c r="N99" s="286"/>
    </row>
    <row r="100" spans="1:26" ht="11.25" customHeight="1">
      <c r="A100" s="75" t="s">
        <v>315</v>
      </c>
      <c r="B100" s="22"/>
      <c r="C100" s="35">
        <v>31</v>
      </c>
      <c r="D100" s="31"/>
      <c r="E100" s="35">
        <v>3899</v>
      </c>
      <c r="F100" s="31"/>
      <c r="G100" s="35">
        <v>4245</v>
      </c>
      <c r="H100" s="59"/>
      <c r="I100" s="59"/>
      <c r="J100" s="35">
        <v>61</v>
      </c>
      <c r="L100" s="35">
        <v>6719</v>
      </c>
      <c r="N100" s="35">
        <v>7952</v>
      </c>
    </row>
    <row r="101" spans="1:26" ht="11.25" customHeight="1">
      <c r="A101" s="75" t="s">
        <v>317</v>
      </c>
      <c r="B101" s="22"/>
      <c r="C101" s="35">
        <v>80</v>
      </c>
      <c r="D101" s="31"/>
      <c r="E101" s="35">
        <v>4230</v>
      </c>
      <c r="F101" s="31"/>
      <c r="G101" s="35">
        <v>8658</v>
      </c>
      <c r="H101" s="59"/>
      <c r="I101" s="59"/>
      <c r="J101" s="35">
        <v>33</v>
      </c>
      <c r="L101" s="35">
        <v>2089</v>
      </c>
      <c r="N101" s="35">
        <v>2089</v>
      </c>
    </row>
    <row r="102" spans="1:26" ht="11.25" customHeight="1">
      <c r="A102" s="75" t="s">
        <v>293</v>
      </c>
      <c r="B102" s="22"/>
      <c r="C102" s="35">
        <v>149</v>
      </c>
      <c r="D102" s="31"/>
      <c r="E102" s="35">
        <v>12861</v>
      </c>
      <c r="F102" s="31"/>
      <c r="G102" s="35">
        <v>17708</v>
      </c>
      <c r="H102" s="42"/>
      <c r="I102" s="42"/>
      <c r="J102" s="35">
        <v>75</v>
      </c>
      <c r="L102" s="35">
        <v>8782</v>
      </c>
      <c r="N102" s="35">
        <v>11810</v>
      </c>
    </row>
    <row r="103" spans="1:26" ht="11.25" customHeight="1">
      <c r="A103" s="75" t="s">
        <v>320</v>
      </c>
      <c r="B103" s="22"/>
      <c r="C103" s="35">
        <v>900</v>
      </c>
      <c r="D103" s="31"/>
      <c r="E103" s="35">
        <v>56912</v>
      </c>
      <c r="F103" s="31"/>
      <c r="G103" s="35">
        <v>78193</v>
      </c>
      <c r="H103" s="42"/>
      <c r="I103" s="42"/>
      <c r="J103" s="35">
        <v>851</v>
      </c>
      <c r="L103" s="35">
        <v>58945</v>
      </c>
      <c r="N103" s="35">
        <v>66218</v>
      </c>
    </row>
    <row r="104" spans="1:26" ht="11.25" customHeight="1">
      <c r="A104" s="572" t="s">
        <v>466</v>
      </c>
      <c r="B104" s="22"/>
      <c r="C104" s="267" t="s">
        <v>25</v>
      </c>
      <c r="D104" s="35"/>
      <c r="E104" s="267" t="s">
        <v>25</v>
      </c>
      <c r="F104" s="35"/>
      <c r="G104" s="267" t="s">
        <v>25</v>
      </c>
      <c r="H104" s="42"/>
      <c r="I104" s="42"/>
      <c r="J104" s="35">
        <v>170</v>
      </c>
      <c r="L104" s="35">
        <v>7988</v>
      </c>
      <c r="N104" s="35">
        <v>16706</v>
      </c>
    </row>
    <row r="105" spans="1:26" ht="11.25" customHeight="1">
      <c r="A105" s="75" t="s">
        <v>475</v>
      </c>
      <c r="B105" s="22"/>
      <c r="C105" s="35">
        <v>47</v>
      </c>
      <c r="D105" s="42" t="s">
        <v>542</v>
      </c>
      <c r="E105" s="35">
        <v>2566</v>
      </c>
      <c r="F105" s="42" t="s">
        <v>542</v>
      </c>
      <c r="G105" s="35">
        <v>6522</v>
      </c>
      <c r="H105" s="42" t="s">
        <v>542</v>
      </c>
      <c r="I105" s="42"/>
      <c r="J105" s="35">
        <v>59</v>
      </c>
      <c r="L105" s="35">
        <v>5107</v>
      </c>
      <c r="N105" s="35">
        <v>6732</v>
      </c>
    </row>
    <row r="106" spans="1:26" ht="11.25" customHeight="1">
      <c r="A106" s="92" t="s">
        <v>380</v>
      </c>
      <c r="B106" s="22"/>
      <c r="C106" s="573">
        <v>1207</v>
      </c>
      <c r="D106" s="574"/>
      <c r="E106" s="594">
        <v>80468</v>
      </c>
      <c r="F106" s="574"/>
      <c r="G106" s="573">
        <v>115327</v>
      </c>
      <c r="H106" s="576"/>
      <c r="I106" s="576"/>
      <c r="J106" s="573">
        <v>1249</v>
      </c>
      <c r="K106" s="601"/>
      <c r="L106" s="602">
        <v>89629</v>
      </c>
      <c r="M106" s="601"/>
      <c r="N106" s="602">
        <v>111507</v>
      </c>
    </row>
    <row r="107" spans="1:26" ht="11.25" customHeight="1">
      <c r="A107" s="76" t="s">
        <v>734</v>
      </c>
      <c r="B107" s="22"/>
      <c r="D107" s="31"/>
      <c r="E107" s="40"/>
      <c r="F107" s="31"/>
      <c r="G107" s="40"/>
      <c r="H107" s="35"/>
      <c r="I107" s="35"/>
      <c r="J107" s="35"/>
      <c r="L107" s="35"/>
      <c r="M107" s="35"/>
      <c r="N107" s="35"/>
    </row>
    <row r="108" spans="1:26" ht="11.25" customHeight="1">
      <c r="A108" s="75" t="s">
        <v>732</v>
      </c>
      <c r="B108" s="22"/>
      <c r="C108" s="35" t="s">
        <v>25</v>
      </c>
      <c r="D108" s="35"/>
      <c r="E108" s="35" t="s">
        <v>25</v>
      </c>
      <c r="F108" s="35"/>
      <c r="G108" s="35" t="s">
        <v>25</v>
      </c>
      <c r="H108" s="35"/>
      <c r="I108" s="35"/>
      <c r="J108" s="35">
        <v>21</v>
      </c>
      <c r="L108" s="35">
        <v>2551</v>
      </c>
      <c r="M108" s="35"/>
      <c r="N108" s="35">
        <v>2554</v>
      </c>
    </row>
    <row r="109" spans="1:26" ht="11.25" customHeight="1">
      <c r="A109" s="75" t="s">
        <v>320</v>
      </c>
      <c r="B109" s="22"/>
      <c r="C109" s="35">
        <v>84</v>
      </c>
      <c r="D109" s="31"/>
      <c r="E109" s="35">
        <v>10379</v>
      </c>
      <c r="F109" s="35"/>
      <c r="G109" s="35">
        <v>10383</v>
      </c>
      <c r="H109" s="35"/>
      <c r="I109" s="35"/>
      <c r="J109" s="35">
        <v>105</v>
      </c>
      <c r="L109" s="35">
        <v>9305</v>
      </c>
      <c r="M109" s="35"/>
      <c r="N109" s="35">
        <v>11489</v>
      </c>
    </row>
    <row r="110" spans="1:26" ht="11.25" customHeight="1">
      <c r="A110" s="92" t="s">
        <v>380</v>
      </c>
      <c r="B110" s="22"/>
      <c r="C110" s="573">
        <v>84</v>
      </c>
      <c r="D110" s="574"/>
      <c r="E110" s="594">
        <v>10379</v>
      </c>
      <c r="F110" s="573"/>
      <c r="G110" s="573">
        <v>10383</v>
      </c>
      <c r="H110" s="573"/>
      <c r="I110" s="573"/>
      <c r="J110" s="573">
        <v>126</v>
      </c>
      <c r="K110" s="573"/>
      <c r="L110" s="573">
        <v>11856</v>
      </c>
      <c r="M110" s="573"/>
      <c r="N110" s="573">
        <v>14042</v>
      </c>
    </row>
    <row r="111" spans="1:26" ht="11.25" customHeight="1">
      <c r="A111" s="80" t="s">
        <v>353</v>
      </c>
      <c r="B111" s="32"/>
      <c r="C111" s="261"/>
      <c r="D111" s="261"/>
      <c r="E111" s="261"/>
      <c r="F111" s="261"/>
      <c r="G111" s="261"/>
      <c r="H111" s="261"/>
      <c r="I111" s="261"/>
      <c r="J111" s="261"/>
      <c r="K111" s="261"/>
      <c r="M111" s="261"/>
      <c r="N111" s="261"/>
      <c r="P111" s="40"/>
      <c r="Q111" s="40"/>
      <c r="R111" s="40"/>
      <c r="S111" s="40"/>
      <c r="T111" s="40"/>
      <c r="U111" s="40"/>
      <c r="V111" s="40"/>
      <c r="W111" s="40"/>
      <c r="X111" s="40"/>
      <c r="Y111" s="40"/>
      <c r="Z111" s="40"/>
    </row>
    <row r="112" spans="1:26" ht="11.25" customHeight="1">
      <c r="A112" s="75" t="s">
        <v>293</v>
      </c>
      <c r="B112" s="32"/>
      <c r="C112" s="35">
        <v>49</v>
      </c>
      <c r="D112" s="35"/>
      <c r="E112" s="35">
        <v>7886</v>
      </c>
      <c r="F112" s="35"/>
      <c r="G112" s="35">
        <v>7961</v>
      </c>
      <c r="H112" s="35"/>
      <c r="I112" s="35"/>
      <c r="J112" s="35">
        <v>88</v>
      </c>
      <c r="L112" s="35">
        <v>13714</v>
      </c>
      <c r="M112" s="35"/>
      <c r="N112" s="35">
        <v>13837</v>
      </c>
      <c r="P112" s="40"/>
      <c r="Q112" s="40"/>
      <c r="R112" s="40"/>
      <c r="S112" s="40"/>
      <c r="T112" s="40"/>
      <c r="U112" s="40"/>
      <c r="V112" s="40"/>
      <c r="W112" s="40"/>
      <c r="X112" s="40"/>
      <c r="Y112" s="40"/>
      <c r="Z112" s="40"/>
    </row>
    <row r="113" spans="1:14" ht="11.25" customHeight="1">
      <c r="A113" s="75" t="s">
        <v>320</v>
      </c>
      <c r="B113" s="22"/>
      <c r="C113" s="28">
        <v>250</v>
      </c>
      <c r="D113" s="31"/>
      <c r="E113" s="28">
        <v>22755</v>
      </c>
      <c r="F113" s="28"/>
      <c r="G113" s="35">
        <v>27769</v>
      </c>
      <c r="H113" s="42"/>
      <c r="I113" s="42"/>
      <c r="J113" s="28">
        <v>123</v>
      </c>
      <c r="L113" s="35">
        <v>8513</v>
      </c>
      <c r="M113" s="28"/>
      <c r="N113" s="35">
        <v>11825</v>
      </c>
    </row>
    <row r="114" spans="1:14" ht="11.25" customHeight="1">
      <c r="A114" s="75" t="s">
        <v>478</v>
      </c>
      <c r="B114" s="22"/>
      <c r="C114" s="61" t="s">
        <v>543</v>
      </c>
      <c r="D114" s="42" t="s">
        <v>542</v>
      </c>
      <c r="E114" s="28">
        <v>162</v>
      </c>
      <c r="F114" s="42" t="s">
        <v>542</v>
      </c>
      <c r="G114" s="28">
        <v>182</v>
      </c>
      <c r="H114" s="42" t="s">
        <v>542</v>
      </c>
      <c r="I114" s="42"/>
      <c r="J114" s="28">
        <v>20</v>
      </c>
      <c r="L114" s="35">
        <v>2474</v>
      </c>
      <c r="N114" s="35">
        <v>3104</v>
      </c>
    </row>
    <row r="115" spans="1:14" ht="11.25" customHeight="1">
      <c r="A115" s="92" t="s">
        <v>380</v>
      </c>
      <c r="B115" s="22"/>
      <c r="C115" s="515">
        <v>298</v>
      </c>
      <c r="D115" s="514"/>
      <c r="E115" s="593">
        <v>30802</v>
      </c>
      <c r="F115" s="514"/>
      <c r="G115" s="515">
        <v>35912</v>
      </c>
      <c r="H115" s="79"/>
      <c r="I115" s="541"/>
      <c r="J115" s="515">
        <v>232</v>
      </c>
      <c r="K115" s="514"/>
      <c r="L115" s="515">
        <v>24701</v>
      </c>
      <c r="M115" s="514"/>
      <c r="N115" s="515">
        <v>28765</v>
      </c>
    </row>
    <row r="116" spans="1:14" ht="11.25" customHeight="1">
      <c r="A116" s="76" t="s">
        <v>334</v>
      </c>
      <c r="B116" s="22"/>
      <c r="C116" s="35"/>
      <c r="D116" s="35"/>
      <c r="E116" s="35"/>
      <c r="F116" s="35"/>
      <c r="G116" s="35"/>
      <c r="H116" s="35"/>
      <c r="I116" s="35"/>
      <c r="J116" s="35"/>
      <c r="K116" s="35"/>
      <c r="M116" s="35"/>
      <c r="N116" s="35"/>
    </row>
    <row r="117" spans="1:14" ht="11.25" customHeight="1">
      <c r="A117" s="96" t="s">
        <v>317</v>
      </c>
      <c r="B117" s="22"/>
      <c r="C117" s="35">
        <v>248</v>
      </c>
      <c r="D117" s="31"/>
      <c r="E117" s="35">
        <v>26616</v>
      </c>
      <c r="F117" s="31"/>
      <c r="G117" s="35">
        <v>26741</v>
      </c>
      <c r="H117" s="42"/>
      <c r="I117" s="42"/>
      <c r="J117" s="35">
        <v>469</v>
      </c>
      <c r="L117" s="35">
        <v>49965</v>
      </c>
      <c r="N117" s="35">
        <v>50190</v>
      </c>
    </row>
    <row r="118" spans="1:14" ht="11.25" customHeight="1">
      <c r="A118" s="75" t="s">
        <v>320</v>
      </c>
      <c r="C118" s="35">
        <v>1033</v>
      </c>
      <c r="D118" s="31"/>
      <c r="E118" s="35">
        <v>64077</v>
      </c>
      <c r="F118" s="31"/>
      <c r="G118" s="35">
        <v>90087</v>
      </c>
      <c r="H118" s="62"/>
      <c r="I118" s="62"/>
      <c r="J118" s="35">
        <v>533</v>
      </c>
      <c r="L118" s="35">
        <v>35925</v>
      </c>
      <c r="N118" s="35">
        <v>46627</v>
      </c>
    </row>
    <row r="119" spans="1:14" ht="11.25" customHeight="1">
      <c r="A119" s="75" t="s">
        <v>507</v>
      </c>
      <c r="C119" s="35">
        <v>428</v>
      </c>
      <c r="D119" s="31"/>
      <c r="E119" s="35">
        <v>48749</v>
      </c>
      <c r="F119" s="31"/>
      <c r="G119" s="35">
        <v>48996</v>
      </c>
      <c r="H119" s="62"/>
      <c r="I119" s="62"/>
      <c r="J119" s="267" t="s">
        <v>25</v>
      </c>
      <c r="L119" s="267" t="s">
        <v>25</v>
      </c>
      <c r="M119" s="35"/>
      <c r="N119" s="267" t="s">
        <v>25</v>
      </c>
    </row>
    <row r="120" spans="1:14" ht="11.25" customHeight="1">
      <c r="A120" s="75" t="s">
        <v>491</v>
      </c>
      <c r="B120" s="22"/>
      <c r="C120" s="35">
        <v>254</v>
      </c>
      <c r="D120" s="31"/>
      <c r="E120" s="35">
        <v>30676</v>
      </c>
      <c r="F120" s="31"/>
      <c r="G120" s="35">
        <v>34699</v>
      </c>
      <c r="H120" s="413"/>
      <c r="I120" s="413"/>
      <c r="J120" s="35">
        <v>802</v>
      </c>
      <c r="L120" s="35">
        <v>73921</v>
      </c>
      <c r="N120" s="35">
        <v>95974</v>
      </c>
    </row>
    <row r="121" spans="1:14" ht="11.25" customHeight="1">
      <c r="A121" s="92" t="s">
        <v>380</v>
      </c>
      <c r="B121" s="22"/>
      <c r="C121" s="513">
        <v>1962</v>
      </c>
      <c r="D121" s="514"/>
      <c r="E121" s="593">
        <v>170118</v>
      </c>
      <c r="F121" s="514"/>
      <c r="G121" s="515">
        <v>200523</v>
      </c>
      <c r="H121" s="79"/>
      <c r="I121" s="541"/>
      <c r="J121" s="602">
        <v>1805</v>
      </c>
      <c r="K121" s="601"/>
      <c r="L121" s="602">
        <v>159811</v>
      </c>
      <c r="M121" s="601"/>
      <c r="N121" s="603">
        <v>192791</v>
      </c>
    </row>
    <row r="122" spans="1:14" ht="11.25" customHeight="1">
      <c r="A122" s="76" t="s">
        <v>335</v>
      </c>
      <c r="B122" s="22"/>
      <c r="C122" s="35"/>
      <c r="D122" s="35"/>
      <c r="E122" s="35"/>
      <c r="F122" s="35"/>
      <c r="G122" s="35"/>
      <c r="H122" s="35"/>
      <c r="I122" s="35"/>
      <c r="J122" s="35"/>
      <c r="K122" s="35"/>
      <c r="L122" s="35"/>
      <c r="M122" s="35"/>
      <c r="N122" s="35"/>
    </row>
    <row r="123" spans="1:14" ht="11.25" customHeight="1">
      <c r="A123" s="75" t="s">
        <v>284</v>
      </c>
      <c r="B123" s="22"/>
      <c r="C123" s="35">
        <v>574</v>
      </c>
      <c r="D123" s="31"/>
      <c r="E123" s="35">
        <v>32200</v>
      </c>
      <c r="F123" s="31"/>
      <c r="G123" s="35">
        <v>32358</v>
      </c>
      <c r="H123" s="42"/>
      <c r="I123" s="42"/>
      <c r="J123" s="35">
        <v>567</v>
      </c>
      <c r="L123" s="35">
        <v>31695</v>
      </c>
      <c r="N123" s="35">
        <v>31898</v>
      </c>
    </row>
    <row r="124" spans="1:14" ht="11.25" customHeight="1">
      <c r="A124" s="75" t="s">
        <v>317</v>
      </c>
      <c r="B124" s="22"/>
      <c r="C124" s="35">
        <v>911</v>
      </c>
      <c r="D124" s="31"/>
      <c r="E124" s="35">
        <v>49533</v>
      </c>
      <c r="F124" s="31"/>
      <c r="G124" s="35">
        <v>51128</v>
      </c>
      <c r="H124" s="42"/>
      <c r="I124" s="42"/>
      <c r="J124" s="35">
        <v>575</v>
      </c>
      <c r="L124" s="35">
        <v>38177</v>
      </c>
      <c r="N124" s="35">
        <v>43813</v>
      </c>
    </row>
    <row r="125" spans="1:14" ht="11.25" customHeight="1">
      <c r="A125" s="572" t="s">
        <v>537</v>
      </c>
      <c r="B125" s="22"/>
      <c r="C125" s="61" t="s">
        <v>543</v>
      </c>
      <c r="D125" s="31"/>
      <c r="E125" s="35">
        <v>58</v>
      </c>
      <c r="F125" s="31"/>
      <c r="G125" s="35">
        <v>80</v>
      </c>
      <c r="H125" s="42"/>
      <c r="I125" s="42"/>
      <c r="J125" s="61" t="s">
        <v>543</v>
      </c>
      <c r="L125" s="35">
        <v>26</v>
      </c>
      <c r="N125" s="35">
        <v>35</v>
      </c>
    </row>
    <row r="126" spans="1:14" ht="11.25" customHeight="1">
      <c r="A126" s="505" t="s">
        <v>318</v>
      </c>
      <c r="B126" s="22"/>
      <c r="C126" s="61" t="s">
        <v>543</v>
      </c>
      <c r="D126" s="31"/>
      <c r="E126" s="35">
        <v>371</v>
      </c>
      <c r="F126" s="31"/>
      <c r="G126" s="35">
        <v>410</v>
      </c>
      <c r="H126" s="42"/>
      <c r="I126" s="42"/>
      <c r="J126" s="61" t="s">
        <v>543</v>
      </c>
      <c r="L126" s="35">
        <v>17</v>
      </c>
      <c r="N126" s="35">
        <v>20</v>
      </c>
    </row>
    <row r="127" spans="1:14" ht="11.25" customHeight="1">
      <c r="A127" s="75" t="s">
        <v>320</v>
      </c>
      <c r="B127" s="22"/>
      <c r="C127" s="35">
        <v>371</v>
      </c>
      <c r="D127" s="31"/>
      <c r="E127" s="35">
        <v>22772</v>
      </c>
      <c r="F127" s="31"/>
      <c r="G127" s="35">
        <v>24553</v>
      </c>
      <c r="H127" s="42"/>
      <c r="I127" s="42"/>
      <c r="J127" s="35">
        <v>516</v>
      </c>
      <c r="L127" s="35">
        <v>31295</v>
      </c>
      <c r="N127" s="35">
        <v>33949</v>
      </c>
    </row>
    <row r="128" spans="1:14" ht="11.25" customHeight="1">
      <c r="A128" s="505" t="s">
        <v>298</v>
      </c>
      <c r="B128" s="22"/>
      <c r="C128" s="35">
        <v>5</v>
      </c>
      <c r="D128" s="31"/>
      <c r="E128" s="35">
        <v>789</v>
      </c>
      <c r="F128" s="31"/>
      <c r="G128" s="35">
        <v>912</v>
      </c>
      <c r="H128" s="42"/>
      <c r="I128" s="42"/>
      <c r="J128" s="35">
        <v>1</v>
      </c>
      <c r="L128" s="35">
        <v>230</v>
      </c>
      <c r="N128" s="35">
        <v>256</v>
      </c>
    </row>
    <row r="129" spans="1:14" ht="11.25" customHeight="1">
      <c r="A129" s="75" t="s">
        <v>475</v>
      </c>
      <c r="B129" s="22"/>
      <c r="C129" s="61" t="s">
        <v>543</v>
      </c>
      <c r="D129" s="31"/>
      <c r="E129" s="35">
        <v>288</v>
      </c>
      <c r="F129" s="95" t="s">
        <v>542</v>
      </c>
      <c r="G129" s="35">
        <v>397</v>
      </c>
      <c r="H129" s="95" t="s">
        <v>542</v>
      </c>
      <c r="I129" s="95"/>
      <c r="J129" s="61" t="s">
        <v>543</v>
      </c>
      <c r="L129" s="35">
        <v>102</v>
      </c>
      <c r="N129" s="35">
        <v>142</v>
      </c>
    </row>
    <row r="130" spans="1:14" ht="11.25" customHeight="1">
      <c r="A130" s="92" t="s">
        <v>380</v>
      </c>
      <c r="B130" s="22"/>
      <c r="C130" s="517">
        <v>1863</v>
      </c>
      <c r="D130" s="518"/>
      <c r="E130" s="588">
        <v>106012</v>
      </c>
      <c r="F130" s="518"/>
      <c r="G130" s="519">
        <v>109837</v>
      </c>
      <c r="H130" s="89"/>
      <c r="I130" s="540"/>
      <c r="J130" s="517">
        <v>1659</v>
      </c>
      <c r="K130" s="518"/>
      <c r="L130" s="517">
        <v>101542</v>
      </c>
      <c r="M130" s="518"/>
      <c r="N130" s="517">
        <v>110113</v>
      </c>
    </row>
    <row r="131" spans="1:14" ht="11.25" customHeight="1">
      <c r="A131" s="76" t="s">
        <v>488</v>
      </c>
      <c r="B131" s="22"/>
      <c r="C131" s="293">
        <v>495</v>
      </c>
      <c r="D131" s="383"/>
      <c r="E131" s="592">
        <v>38364</v>
      </c>
      <c r="F131" s="383"/>
      <c r="G131" s="383">
        <v>42663</v>
      </c>
      <c r="H131" s="294"/>
      <c r="I131" s="294"/>
      <c r="J131" s="293">
        <v>565</v>
      </c>
      <c r="K131" s="383"/>
      <c r="L131" s="383">
        <v>55820</v>
      </c>
      <c r="M131" s="383"/>
      <c r="N131" s="383">
        <v>61044</v>
      </c>
    </row>
    <row r="132" spans="1:14" ht="11.25" customHeight="1">
      <c r="A132" s="76" t="s">
        <v>336</v>
      </c>
      <c r="B132" s="22"/>
      <c r="C132" s="35"/>
      <c r="D132" s="35"/>
      <c r="E132" s="35"/>
      <c r="F132" s="35"/>
      <c r="G132" s="35"/>
      <c r="H132" s="35"/>
      <c r="I132" s="35"/>
      <c r="J132" s="35"/>
      <c r="K132" s="35"/>
      <c r="L132" s="35"/>
      <c r="M132" s="35"/>
      <c r="N132" s="35"/>
    </row>
    <row r="133" spans="1:14" ht="11.25" customHeight="1">
      <c r="A133" s="75" t="s">
        <v>467</v>
      </c>
      <c r="B133" s="22"/>
      <c r="C133" s="35">
        <v>89</v>
      </c>
      <c r="D133" s="31"/>
      <c r="E133" s="35">
        <v>9130</v>
      </c>
      <c r="F133" s="31"/>
      <c r="G133" s="28">
        <v>9226</v>
      </c>
      <c r="H133" s="42"/>
      <c r="I133" s="42"/>
      <c r="J133" s="35">
        <v>165</v>
      </c>
      <c r="L133" s="35">
        <v>11819</v>
      </c>
      <c r="N133" s="35">
        <v>17832</v>
      </c>
    </row>
    <row r="134" spans="1:14" ht="11.25" customHeight="1">
      <c r="A134" s="75" t="s">
        <v>316</v>
      </c>
      <c r="B134" s="22"/>
      <c r="C134" s="35">
        <v>129</v>
      </c>
      <c r="D134" s="31"/>
      <c r="E134" s="35">
        <v>48618</v>
      </c>
      <c r="F134" s="31"/>
      <c r="G134" s="28">
        <v>49571</v>
      </c>
      <c r="H134" s="42"/>
      <c r="I134" s="42"/>
      <c r="J134" s="35">
        <v>105</v>
      </c>
      <c r="L134" s="35">
        <v>39678</v>
      </c>
      <c r="N134" s="35">
        <v>40821</v>
      </c>
    </row>
    <row r="135" spans="1:14" ht="11.25" customHeight="1">
      <c r="A135" s="75" t="s">
        <v>317</v>
      </c>
      <c r="B135" s="22"/>
      <c r="C135" s="35">
        <v>406</v>
      </c>
      <c r="D135" s="31"/>
      <c r="E135" s="35">
        <v>20847</v>
      </c>
      <c r="F135" s="31"/>
      <c r="G135" s="28">
        <v>31614</v>
      </c>
      <c r="H135" s="62"/>
      <c r="I135" s="62"/>
      <c r="J135" s="35">
        <v>426</v>
      </c>
      <c r="L135" s="35">
        <v>26437</v>
      </c>
      <c r="N135" s="35">
        <v>36797</v>
      </c>
    </row>
    <row r="136" spans="1:14" ht="11.25" customHeight="1">
      <c r="A136" s="572" t="s">
        <v>320</v>
      </c>
      <c r="B136" s="22"/>
      <c r="C136" s="35">
        <v>10</v>
      </c>
      <c r="D136" s="31"/>
      <c r="E136" s="35">
        <v>999</v>
      </c>
      <c r="F136" s="31"/>
      <c r="G136" s="28">
        <v>1249</v>
      </c>
      <c r="H136" s="62"/>
      <c r="I136" s="62"/>
      <c r="J136" s="35">
        <v>21</v>
      </c>
      <c r="L136" s="35">
        <v>1659</v>
      </c>
      <c r="N136" s="35">
        <v>2319</v>
      </c>
    </row>
    <row r="137" spans="1:14" ht="11.25" customHeight="1">
      <c r="A137" s="75" t="s">
        <v>475</v>
      </c>
      <c r="B137" s="22"/>
      <c r="C137" s="35">
        <v>17</v>
      </c>
      <c r="D137" s="42" t="s">
        <v>542</v>
      </c>
      <c r="E137" s="35">
        <v>9806</v>
      </c>
      <c r="F137" s="42" t="s">
        <v>542</v>
      </c>
      <c r="G137" s="28">
        <v>10699</v>
      </c>
      <c r="H137" s="42" t="s">
        <v>542</v>
      </c>
      <c r="I137" s="42"/>
      <c r="J137" s="35">
        <v>7</v>
      </c>
      <c r="L137" s="35">
        <v>3840</v>
      </c>
      <c r="N137" s="35">
        <v>4081</v>
      </c>
    </row>
    <row r="138" spans="1:14" ht="11.25" customHeight="1">
      <c r="A138" s="92" t="s">
        <v>380</v>
      </c>
      <c r="B138" s="22"/>
      <c r="C138" s="513">
        <v>651</v>
      </c>
      <c r="D138" s="514"/>
      <c r="E138" s="591">
        <v>89399</v>
      </c>
      <c r="F138" s="514"/>
      <c r="G138" s="515">
        <v>102359</v>
      </c>
      <c r="H138" s="79"/>
      <c r="I138" s="541"/>
      <c r="J138" s="513">
        <v>725</v>
      </c>
      <c r="K138" s="514"/>
      <c r="L138" s="513">
        <v>83433</v>
      </c>
      <c r="M138" s="514"/>
      <c r="N138" s="513">
        <v>101850</v>
      </c>
    </row>
    <row r="139" spans="1:14" ht="11.25" customHeight="1">
      <c r="A139" s="76" t="s">
        <v>337</v>
      </c>
      <c r="B139" s="22"/>
      <c r="C139" s="35"/>
      <c r="D139" s="35"/>
      <c r="E139" s="35"/>
      <c r="F139" s="35"/>
      <c r="G139" s="35"/>
      <c r="H139" s="35"/>
      <c r="I139" s="35"/>
      <c r="J139" s="35"/>
      <c r="K139" s="35"/>
      <c r="L139" s="35"/>
      <c r="M139" s="35"/>
      <c r="N139" s="35"/>
    </row>
    <row r="140" spans="1:14" ht="11.25" customHeight="1">
      <c r="A140" s="75" t="s">
        <v>284</v>
      </c>
      <c r="B140" s="22"/>
      <c r="C140" s="35">
        <v>259</v>
      </c>
      <c r="D140" s="31"/>
      <c r="E140" s="28">
        <v>33575</v>
      </c>
      <c r="F140" s="31"/>
      <c r="G140" s="28">
        <v>34894</v>
      </c>
      <c r="H140" s="59"/>
      <c r="I140" s="59"/>
      <c r="J140" s="35">
        <v>294</v>
      </c>
      <c r="L140" s="35">
        <v>44333</v>
      </c>
      <c r="N140" s="28">
        <v>45504</v>
      </c>
    </row>
    <row r="141" spans="1:14" ht="11.25" customHeight="1">
      <c r="A141" s="75" t="s">
        <v>474</v>
      </c>
      <c r="B141" s="22"/>
      <c r="C141" s="267" t="s">
        <v>25</v>
      </c>
      <c r="D141" s="31"/>
      <c r="E141" s="267" t="s">
        <v>25</v>
      </c>
      <c r="F141" s="35"/>
      <c r="G141" s="267" t="s">
        <v>25</v>
      </c>
      <c r="H141" s="59"/>
      <c r="I141" s="59"/>
      <c r="J141" s="61" t="s">
        <v>543</v>
      </c>
      <c r="L141" s="35">
        <v>13</v>
      </c>
      <c r="M141" s="35"/>
      <c r="N141" s="35">
        <v>13</v>
      </c>
    </row>
    <row r="142" spans="1:14" ht="11.25" customHeight="1">
      <c r="A142" s="92" t="s">
        <v>380</v>
      </c>
      <c r="B142" s="22"/>
      <c r="C142" s="582">
        <v>259</v>
      </c>
      <c r="D142" s="586"/>
      <c r="E142" s="589">
        <v>33575</v>
      </c>
      <c r="F142" s="586"/>
      <c r="G142" s="584">
        <v>34894</v>
      </c>
      <c r="H142" s="587"/>
      <c r="I142" s="587"/>
      <c r="J142" s="582">
        <v>294</v>
      </c>
      <c r="K142" s="586"/>
      <c r="L142" s="582">
        <v>44346</v>
      </c>
      <c r="M142" s="586"/>
      <c r="N142" s="584">
        <v>45517</v>
      </c>
    </row>
    <row r="143" spans="1:14" ht="11.25" customHeight="1">
      <c r="A143" s="76" t="s">
        <v>735</v>
      </c>
      <c r="B143" s="22"/>
      <c r="C143" s="293">
        <v>153</v>
      </c>
      <c r="D143" s="520"/>
      <c r="E143" s="296">
        <v>23756</v>
      </c>
      <c r="F143" s="520"/>
      <c r="G143" s="293">
        <v>24966</v>
      </c>
      <c r="H143" s="293"/>
      <c r="I143" s="293"/>
      <c r="J143" s="293">
        <v>165</v>
      </c>
      <c r="K143" s="520"/>
      <c r="L143" s="293">
        <v>28530</v>
      </c>
      <c r="M143" s="520"/>
      <c r="N143" s="293">
        <v>29814</v>
      </c>
    </row>
    <row r="144" spans="1:14" ht="11.25" customHeight="1">
      <c r="A144" s="76" t="s">
        <v>338</v>
      </c>
      <c r="B144" s="22"/>
      <c r="C144" s="35"/>
      <c r="D144" s="35"/>
      <c r="E144" s="35"/>
      <c r="F144" s="35"/>
      <c r="G144" s="35"/>
      <c r="H144" s="35"/>
      <c r="I144" s="35"/>
      <c r="J144" s="35"/>
      <c r="K144" s="35"/>
      <c r="L144" s="35"/>
      <c r="M144" s="35"/>
      <c r="N144" s="35"/>
    </row>
    <row r="145" spans="1:14" ht="11.25" customHeight="1">
      <c r="A145" s="505" t="s">
        <v>315</v>
      </c>
      <c r="C145" s="28">
        <v>17</v>
      </c>
      <c r="D145" s="31"/>
      <c r="E145" s="28">
        <v>1578</v>
      </c>
      <c r="F145" s="31"/>
      <c r="G145" s="28">
        <v>1673</v>
      </c>
      <c r="H145" s="59"/>
      <c r="I145" s="59"/>
      <c r="J145" s="28">
        <v>33</v>
      </c>
      <c r="L145" s="28">
        <v>3496</v>
      </c>
      <c r="N145" s="28">
        <v>3706</v>
      </c>
    </row>
    <row r="146" spans="1:14" ht="11.25" customHeight="1">
      <c r="A146" s="75" t="s">
        <v>317</v>
      </c>
      <c r="C146" s="28">
        <v>45</v>
      </c>
      <c r="D146" s="31"/>
      <c r="E146" s="28">
        <v>2023</v>
      </c>
      <c r="F146" s="31"/>
      <c r="G146" s="28">
        <v>2223</v>
      </c>
      <c r="H146" s="62"/>
      <c r="I146" s="62"/>
      <c r="J146" s="28">
        <v>45</v>
      </c>
      <c r="L146" s="28">
        <v>2813</v>
      </c>
      <c r="N146" s="28">
        <v>2833</v>
      </c>
    </row>
    <row r="147" spans="1:14" ht="11.25" customHeight="1">
      <c r="A147" s="505" t="s">
        <v>537</v>
      </c>
      <c r="C147" s="28">
        <v>8</v>
      </c>
      <c r="D147" s="31"/>
      <c r="E147" s="28">
        <v>755</v>
      </c>
      <c r="F147" s="31"/>
      <c r="G147" s="28">
        <v>832</v>
      </c>
      <c r="H147" s="62"/>
      <c r="I147" s="62"/>
      <c r="J147" s="267" t="s">
        <v>25</v>
      </c>
      <c r="K147" s="35"/>
      <c r="L147" s="267" t="s">
        <v>25</v>
      </c>
      <c r="M147" s="35"/>
      <c r="N147" s="267" t="s">
        <v>25</v>
      </c>
    </row>
    <row r="148" spans="1:14" ht="11.25" customHeight="1">
      <c r="A148" s="75" t="s">
        <v>318</v>
      </c>
      <c r="C148" s="28">
        <v>2</v>
      </c>
      <c r="D148" s="31"/>
      <c r="E148" s="28">
        <v>1420</v>
      </c>
      <c r="F148" s="35"/>
      <c r="G148" s="28">
        <v>1587</v>
      </c>
      <c r="H148" s="62"/>
      <c r="I148" s="62"/>
      <c r="J148" s="28">
        <v>2</v>
      </c>
      <c r="L148" s="28">
        <v>2034</v>
      </c>
      <c r="M148" s="35"/>
      <c r="N148" s="28">
        <v>2204</v>
      </c>
    </row>
    <row r="149" spans="1:14" ht="11.25" customHeight="1">
      <c r="A149" s="75" t="s">
        <v>320</v>
      </c>
      <c r="C149" s="28">
        <v>393</v>
      </c>
      <c r="D149" s="31"/>
      <c r="E149" s="28">
        <v>31011</v>
      </c>
      <c r="F149" s="31"/>
      <c r="G149" s="28">
        <v>31867</v>
      </c>
      <c r="H149" s="46"/>
      <c r="I149" s="46"/>
      <c r="J149" s="28">
        <v>548</v>
      </c>
      <c r="L149" s="28">
        <v>34728</v>
      </c>
      <c r="N149" s="28">
        <v>35283</v>
      </c>
    </row>
    <row r="150" spans="1:14" ht="11.25" customHeight="1">
      <c r="A150" s="572" t="s">
        <v>298</v>
      </c>
      <c r="C150" s="61" t="s">
        <v>543</v>
      </c>
      <c r="D150" s="31"/>
      <c r="E150" s="28">
        <v>95</v>
      </c>
      <c r="F150" s="31"/>
      <c r="G150" s="28">
        <v>111</v>
      </c>
      <c r="H150" s="46"/>
      <c r="I150" s="46"/>
      <c r="J150" s="28">
        <v>2</v>
      </c>
      <c r="L150" s="28">
        <v>161</v>
      </c>
      <c r="N150" s="28">
        <v>206</v>
      </c>
    </row>
    <row r="151" spans="1:14" ht="11.25" customHeight="1">
      <c r="A151" s="75" t="s">
        <v>478</v>
      </c>
      <c r="B151" s="22"/>
      <c r="C151" s="61" t="s">
        <v>543</v>
      </c>
      <c r="D151" s="413" t="s">
        <v>542</v>
      </c>
      <c r="E151" s="28">
        <v>20</v>
      </c>
      <c r="F151" s="413" t="s">
        <v>542</v>
      </c>
      <c r="G151" s="28">
        <v>37</v>
      </c>
      <c r="H151" s="413" t="s">
        <v>542</v>
      </c>
      <c r="I151" s="413"/>
      <c r="J151" s="61" t="s">
        <v>543</v>
      </c>
      <c r="L151" s="28">
        <v>18</v>
      </c>
      <c r="N151" s="28">
        <v>21</v>
      </c>
    </row>
    <row r="152" spans="1:14" ht="11.25" customHeight="1">
      <c r="A152" s="92" t="s">
        <v>380</v>
      </c>
      <c r="B152" s="22"/>
      <c r="C152" s="573">
        <v>465</v>
      </c>
      <c r="D152" s="574"/>
      <c r="E152" s="590">
        <v>36903</v>
      </c>
      <c r="F152" s="574"/>
      <c r="G152" s="575">
        <v>38331</v>
      </c>
      <c r="H152" s="580"/>
      <c r="I152" s="580"/>
      <c r="J152" s="573">
        <v>630</v>
      </c>
      <c r="K152" s="574"/>
      <c r="L152" s="573">
        <v>43249</v>
      </c>
      <c r="M152" s="574"/>
      <c r="N152" s="575">
        <v>44254</v>
      </c>
    </row>
    <row r="153" spans="1:14" ht="11.25" customHeight="1">
      <c r="A153" s="521" t="s">
        <v>736</v>
      </c>
      <c r="B153" s="22"/>
      <c r="C153" s="40"/>
      <c r="D153" s="31"/>
      <c r="E153" s="40"/>
      <c r="F153" s="31"/>
      <c r="G153" s="40"/>
      <c r="H153" s="95"/>
      <c r="I153" s="95"/>
      <c r="J153" s="35"/>
      <c r="L153" s="35"/>
      <c r="M153" s="35"/>
      <c r="N153" s="35"/>
    </row>
    <row r="154" spans="1:14" ht="11.25" customHeight="1">
      <c r="A154" s="75" t="s">
        <v>535</v>
      </c>
      <c r="B154" s="22"/>
      <c r="C154" s="267" t="s">
        <v>25</v>
      </c>
      <c r="D154" s="35"/>
      <c r="E154" s="267" t="s">
        <v>25</v>
      </c>
      <c r="F154" s="35"/>
      <c r="G154" s="267" t="s">
        <v>25</v>
      </c>
      <c r="H154" s="95"/>
      <c r="I154" s="95"/>
      <c r="J154" s="35">
        <v>40</v>
      </c>
      <c r="L154" s="35">
        <v>2200</v>
      </c>
      <c r="N154" s="28">
        <v>4805</v>
      </c>
    </row>
    <row r="155" spans="1:14" ht="11.25" customHeight="1">
      <c r="A155" s="75" t="s">
        <v>474</v>
      </c>
      <c r="B155" s="22"/>
      <c r="C155" s="35">
        <v>2</v>
      </c>
      <c r="D155" s="31"/>
      <c r="E155" s="28">
        <v>133</v>
      </c>
      <c r="F155" s="31"/>
      <c r="G155" s="28">
        <v>225</v>
      </c>
      <c r="H155" s="95"/>
      <c r="I155" s="95"/>
      <c r="J155" s="35">
        <v>30</v>
      </c>
      <c r="L155" s="35">
        <v>1410</v>
      </c>
      <c r="N155" s="28">
        <v>2545</v>
      </c>
    </row>
    <row r="156" spans="1:14" ht="11.25" customHeight="1">
      <c r="A156" s="92" t="s">
        <v>380</v>
      </c>
      <c r="B156" s="22"/>
      <c r="C156" s="582">
        <v>2</v>
      </c>
      <c r="D156" s="583"/>
      <c r="E156" s="589">
        <v>133</v>
      </c>
      <c r="F156" s="583"/>
      <c r="G156" s="584">
        <v>225</v>
      </c>
      <c r="H156" s="585"/>
      <c r="I156" s="585"/>
      <c r="J156" s="582">
        <v>70</v>
      </c>
      <c r="K156" s="583"/>
      <c r="L156" s="582">
        <v>3610</v>
      </c>
      <c r="M156" s="583"/>
      <c r="N156" s="584">
        <v>7350</v>
      </c>
    </row>
    <row r="157" spans="1:14" ht="11.25" customHeight="1">
      <c r="A157" s="76" t="s">
        <v>489</v>
      </c>
      <c r="B157" s="22"/>
      <c r="C157" s="35">
        <v>22</v>
      </c>
      <c r="D157" s="31"/>
      <c r="E157" s="5">
        <v>2411</v>
      </c>
      <c r="F157" s="35"/>
      <c r="G157" s="35">
        <v>2586</v>
      </c>
      <c r="H157" s="35"/>
      <c r="I157" s="35"/>
      <c r="J157" s="35">
        <v>26</v>
      </c>
      <c r="L157" s="35">
        <v>3259</v>
      </c>
      <c r="M157" s="35"/>
      <c r="N157" s="35">
        <v>3457</v>
      </c>
    </row>
    <row r="158" spans="1:14" ht="11.25" customHeight="1">
      <c r="A158" s="76" t="s">
        <v>354</v>
      </c>
      <c r="C158" s="288"/>
      <c r="D158" s="288"/>
      <c r="E158" s="288"/>
      <c r="F158" s="288"/>
      <c r="G158" s="288"/>
      <c r="H158" s="288"/>
      <c r="I158" s="288"/>
      <c r="J158" s="288"/>
      <c r="K158" s="288"/>
      <c r="L158" s="288"/>
      <c r="M158" s="288"/>
      <c r="N158" s="288"/>
    </row>
    <row r="159" spans="1:14" ht="11.25" customHeight="1">
      <c r="A159" s="75" t="s">
        <v>284</v>
      </c>
      <c r="C159" s="35">
        <v>317</v>
      </c>
      <c r="D159" s="31"/>
      <c r="E159" s="35">
        <v>17563</v>
      </c>
      <c r="F159" s="31"/>
      <c r="G159" s="35">
        <v>17698</v>
      </c>
      <c r="H159" s="46"/>
      <c r="I159" s="46"/>
      <c r="J159" s="35">
        <v>276</v>
      </c>
      <c r="L159" s="35">
        <v>15232</v>
      </c>
      <c r="N159" s="35">
        <v>15427</v>
      </c>
    </row>
    <row r="160" spans="1:14" ht="11.25" customHeight="1">
      <c r="A160" s="505" t="s">
        <v>319</v>
      </c>
      <c r="C160" s="35">
        <v>11</v>
      </c>
      <c r="D160" s="31"/>
      <c r="E160" s="35">
        <v>1134</v>
      </c>
      <c r="F160" s="31"/>
      <c r="G160" s="35">
        <v>1136</v>
      </c>
      <c r="H160" s="46"/>
      <c r="I160" s="46"/>
      <c r="J160" s="267" t="s">
        <v>25</v>
      </c>
      <c r="K160" s="35"/>
      <c r="L160" s="267" t="s">
        <v>25</v>
      </c>
      <c r="M160" s="35"/>
      <c r="N160" s="267" t="s">
        <v>25</v>
      </c>
    </row>
    <row r="161" spans="1:15" ht="11.25" customHeight="1">
      <c r="A161" s="75" t="s">
        <v>320</v>
      </c>
      <c r="C161" s="35">
        <v>268</v>
      </c>
      <c r="D161" s="31"/>
      <c r="E161" s="35">
        <v>14673</v>
      </c>
      <c r="F161" s="31"/>
      <c r="G161" s="35">
        <v>16140</v>
      </c>
      <c r="H161" s="82"/>
      <c r="I161" s="59"/>
      <c r="J161" s="35">
        <v>229</v>
      </c>
      <c r="L161" s="35">
        <v>14762</v>
      </c>
      <c r="N161" s="35">
        <v>16254</v>
      </c>
    </row>
    <row r="162" spans="1:15" ht="11.25" customHeight="1">
      <c r="A162" s="92" t="s">
        <v>380</v>
      </c>
      <c r="C162" s="517">
        <v>595</v>
      </c>
      <c r="D162" s="518"/>
      <c r="E162" s="588">
        <v>33370</v>
      </c>
      <c r="F162" s="518"/>
      <c r="G162" s="519">
        <v>34975</v>
      </c>
      <c r="H162" s="87"/>
      <c r="I162" s="544"/>
      <c r="J162" s="517">
        <v>505</v>
      </c>
      <c r="K162" s="518"/>
      <c r="L162" s="517">
        <v>29995</v>
      </c>
      <c r="M162" s="518"/>
      <c r="N162" s="517">
        <v>31681</v>
      </c>
    </row>
    <row r="163" spans="1:15" ht="11.25" customHeight="1">
      <c r="A163" s="76" t="s">
        <v>479</v>
      </c>
      <c r="B163" s="22"/>
      <c r="C163" s="268">
        <v>1</v>
      </c>
      <c r="D163" s="268"/>
      <c r="E163" s="268">
        <v>221</v>
      </c>
      <c r="F163" s="268"/>
      <c r="G163" s="268">
        <v>228</v>
      </c>
      <c r="H163" s="268"/>
      <c r="I163" s="293"/>
      <c r="J163" s="268">
        <v>2</v>
      </c>
      <c r="K163" s="293"/>
      <c r="L163" s="268">
        <v>226</v>
      </c>
      <c r="M163" s="268"/>
      <c r="N163" s="268">
        <v>233</v>
      </c>
    </row>
    <row r="164" spans="1:15" s="40" customFormat="1" ht="11.25" customHeight="1">
      <c r="A164" s="76" t="s">
        <v>339</v>
      </c>
      <c r="B164" s="22"/>
      <c r="C164" s="35"/>
      <c r="D164" s="35"/>
      <c r="E164" s="35"/>
      <c r="F164" s="35"/>
      <c r="G164" s="35"/>
      <c r="H164" s="35"/>
      <c r="I164" s="35"/>
      <c r="J164" s="35"/>
      <c r="K164" s="35"/>
      <c r="L164" s="35"/>
      <c r="M164" s="35"/>
      <c r="N164" s="35"/>
    </row>
    <row r="165" spans="1:15" ht="11.25" customHeight="1">
      <c r="A165" s="75" t="s">
        <v>287</v>
      </c>
      <c r="B165" s="22"/>
      <c r="C165" s="267" t="s">
        <v>25</v>
      </c>
      <c r="D165" s="35"/>
      <c r="E165" s="267" t="s">
        <v>25</v>
      </c>
      <c r="F165" s="35"/>
      <c r="G165" s="267" t="s">
        <v>25</v>
      </c>
      <c r="H165" s="95"/>
      <c r="I165" s="95"/>
      <c r="J165" s="61" t="s">
        <v>543</v>
      </c>
      <c r="L165" s="35">
        <v>100</v>
      </c>
      <c r="M165" s="35"/>
      <c r="N165" s="35">
        <v>275</v>
      </c>
      <c r="O165" s="40"/>
    </row>
    <row r="166" spans="1:15" ht="11.25" customHeight="1">
      <c r="A166" s="75" t="s">
        <v>315</v>
      </c>
      <c r="B166" s="22"/>
      <c r="C166" s="267" t="s">
        <v>25</v>
      </c>
      <c r="D166" s="35"/>
      <c r="E166" s="267" t="s">
        <v>25</v>
      </c>
      <c r="F166" s="35"/>
      <c r="G166" s="267" t="s">
        <v>25</v>
      </c>
      <c r="J166" s="35">
        <v>3</v>
      </c>
      <c r="L166" s="35">
        <v>438</v>
      </c>
      <c r="M166" s="35"/>
      <c r="N166" s="35">
        <v>465</v>
      </c>
      <c r="O166" s="40"/>
    </row>
    <row r="167" spans="1:15" ht="11.25" customHeight="1">
      <c r="A167" s="572" t="s">
        <v>316</v>
      </c>
      <c r="B167" s="22"/>
      <c r="C167" s="61" t="s">
        <v>543</v>
      </c>
      <c r="D167" s="35"/>
      <c r="E167" s="35">
        <v>116</v>
      </c>
      <c r="F167" s="35"/>
      <c r="G167" s="35">
        <v>122</v>
      </c>
      <c r="J167" s="61" t="s">
        <v>543</v>
      </c>
      <c r="L167" s="35">
        <v>12</v>
      </c>
      <c r="M167" s="35"/>
      <c r="N167" s="35">
        <v>16</v>
      </c>
      <c r="O167" s="40"/>
    </row>
    <row r="168" spans="1:15" ht="11.25" customHeight="1">
      <c r="A168" s="572" t="s">
        <v>291</v>
      </c>
      <c r="B168" s="22"/>
      <c r="C168" s="267" t="s">
        <v>25</v>
      </c>
      <c r="D168" s="35"/>
      <c r="E168" s="267" t="s">
        <v>25</v>
      </c>
      <c r="F168" s="35"/>
      <c r="G168" s="267" t="s">
        <v>25</v>
      </c>
      <c r="J168" s="61" t="s">
        <v>543</v>
      </c>
      <c r="L168" s="35">
        <v>27</v>
      </c>
      <c r="M168" s="35"/>
      <c r="N168" s="35">
        <v>29</v>
      </c>
      <c r="O168" s="40"/>
    </row>
    <row r="169" spans="1:15" ht="11.25" customHeight="1">
      <c r="A169" s="381" t="s">
        <v>292</v>
      </c>
      <c r="B169" s="22"/>
      <c r="C169" s="35">
        <v>61</v>
      </c>
      <c r="D169" s="31"/>
      <c r="E169" s="35">
        <v>3445</v>
      </c>
      <c r="F169" s="31"/>
      <c r="G169" s="35">
        <v>5141</v>
      </c>
      <c r="J169" s="35">
        <v>31</v>
      </c>
      <c r="L169" s="35">
        <v>1910</v>
      </c>
      <c r="N169" s="35">
        <v>2593</v>
      </c>
      <c r="O169" s="40"/>
    </row>
    <row r="170" spans="1:15" ht="11.25" customHeight="1">
      <c r="A170" s="75" t="s">
        <v>293</v>
      </c>
      <c r="B170" s="22"/>
      <c r="C170" s="35">
        <v>440</v>
      </c>
      <c r="D170" s="31"/>
      <c r="E170" s="35">
        <v>26284</v>
      </c>
      <c r="F170" s="31"/>
      <c r="G170" s="35">
        <v>43497</v>
      </c>
      <c r="J170" s="35">
        <v>296</v>
      </c>
      <c r="L170" s="35">
        <v>16880</v>
      </c>
      <c r="N170" s="35">
        <v>28451</v>
      </c>
      <c r="O170" s="40"/>
    </row>
    <row r="171" spans="1:15" ht="11.25" customHeight="1">
      <c r="A171" s="75" t="s">
        <v>297</v>
      </c>
      <c r="B171" s="22"/>
      <c r="C171" s="35">
        <v>268</v>
      </c>
      <c r="D171" s="31"/>
      <c r="E171" s="35">
        <v>15559</v>
      </c>
      <c r="F171" s="31"/>
      <c r="G171" s="35">
        <v>32996</v>
      </c>
      <c r="J171" s="35">
        <v>5</v>
      </c>
      <c r="L171" s="35">
        <v>819</v>
      </c>
      <c r="N171" s="35">
        <v>1201</v>
      </c>
      <c r="O171" s="40"/>
    </row>
    <row r="172" spans="1:15" ht="11.25" customHeight="1">
      <c r="A172" s="281" t="s">
        <v>466</v>
      </c>
      <c r="B172" s="22"/>
      <c r="C172" s="35">
        <v>1555</v>
      </c>
      <c r="D172" s="31"/>
      <c r="E172" s="35">
        <v>135406</v>
      </c>
      <c r="F172" s="41" t="s">
        <v>542</v>
      </c>
      <c r="G172" s="35">
        <v>194940</v>
      </c>
      <c r="H172" s="41" t="s">
        <v>542</v>
      </c>
      <c r="J172" s="35">
        <v>1580</v>
      </c>
      <c r="L172" s="35">
        <v>110871</v>
      </c>
      <c r="N172" s="35">
        <v>152906</v>
      </c>
      <c r="O172" s="40"/>
    </row>
    <row r="173" spans="1:15" ht="11.25" customHeight="1">
      <c r="A173" s="92" t="s">
        <v>380</v>
      </c>
      <c r="B173" s="22"/>
      <c r="C173" s="513">
        <v>2324</v>
      </c>
      <c r="D173" s="514"/>
      <c r="E173" s="513">
        <v>180810</v>
      </c>
      <c r="F173" s="84" t="s">
        <v>542</v>
      </c>
      <c r="G173" s="513">
        <v>276696</v>
      </c>
      <c r="H173" s="84" t="s">
        <v>542</v>
      </c>
      <c r="I173" s="535"/>
      <c r="J173" s="513">
        <v>1915</v>
      </c>
      <c r="K173" s="514"/>
      <c r="L173" s="513">
        <v>131058</v>
      </c>
      <c r="M173" s="514"/>
      <c r="N173" s="513">
        <v>185937</v>
      </c>
    </row>
    <row r="174" spans="1:15" ht="11.25" customHeight="1">
      <c r="A174" s="76" t="s">
        <v>340</v>
      </c>
      <c r="B174" s="22"/>
      <c r="C174" s="35"/>
      <c r="D174" s="35"/>
      <c r="E174" s="35"/>
      <c r="F174" s="35"/>
      <c r="G174" s="35"/>
      <c r="H174" s="35"/>
      <c r="I174" s="35"/>
      <c r="J174" s="35"/>
      <c r="K174" s="35"/>
      <c r="L174" s="35"/>
      <c r="M174" s="35"/>
      <c r="N174" s="35"/>
    </row>
    <row r="175" spans="1:15" ht="11.25" customHeight="1">
      <c r="A175" s="75" t="s">
        <v>486</v>
      </c>
      <c r="B175" s="22"/>
      <c r="C175" s="35">
        <v>41</v>
      </c>
      <c r="D175" s="35"/>
      <c r="E175" s="35">
        <v>4022</v>
      </c>
      <c r="F175" s="35"/>
      <c r="G175" s="35">
        <v>4047</v>
      </c>
      <c r="H175" s="35"/>
      <c r="I175" s="35"/>
      <c r="J175" s="35">
        <v>248</v>
      </c>
      <c r="L175" s="35">
        <v>19234</v>
      </c>
      <c r="M175" s="35"/>
      <c r="N175" s="35">
        <v>19836</v>
      </c>
    </row>
    <row r="176" spans="1:15" ht="11.25" customHeight="1">
      <c r="A176" s="75" t="s">
        <v>467</v>
      </c>
      <c r="B176" s="22"/>
      <c r="C176" s="35">
        <v>240</v>
      </c>
      <c r="D176" s="31"/>
      <c r="E176" s="35">
        <v>24811</v>
      </c>
      <c r="F176" s="31"/>
      <c r="G176" s="35">
        <v>29478</v>
      </c>
      <c r="H176" s="35"/>
      <c r="I176" s="35"/>
      <c r="J176" s="35">
        <v>269</v>
      </c>
      <c r="L176" s="35">
        <v>17642</v>
      </c>
      <c r="N176" s="35">
        <v>27715</v>
      </c>
    </row>
    <row r="177" spans="1:14" ht="11.25" customHeight="1">
      <c r="A177" s="75" t="s">
        <v>465</v>
      </c>
      <c r="B177" s="22"/>
      <c r="C177" s="35">
        <v>30</v>
      </c>
      <c r="D177" s="31"/>
      <c r="E177" s="35">
        <v>6690</v>
      </c>
      <c r="F177" s="31"/>
      <c r="G177" s="35">
        <v>7041</v>
      </c>
      <c r="H177" s="28"/>
      <c r="I177" s="28"/>
      <c r="J177" s="35">
        <v>43</v>
      </c>
      <c r="L177" s="35">
        <v>3359</v>
      </c>
      <c r="N177" s="35">
        <v>3859</v>
      </c>
    </row>
    <row r="178" spans="1:14" ht="11.25" customHeight="1">
      <c r="A178" s="75" t="s">
        <v>320</v>
      </c>
      <c r="C178" s="35">
        <v>641</v>
      </c>
      <c r="D178" s="31"/>
      <c r="E178" s="35">
        <v>49865</v>
      </c>
      <c r="F178" s="31"/>
      <c r="G178" s="35">
        <v>66907</v>
      </c>
      <c r="H178" s="59"/>
      <c r="I178" s="59"/>
      <c r="J178" s="35">
        <v>56</v>
      </c>
      <c r="L178" s="35">
        <v>3712</v>
      </c>
      <c r="N178" s="35">
        <v>6367</v>
      </c>
    </row>
    <row r="179" spans="1:14" ht="11.25" customHeight="1">
      <c r="A179" s="505" t="s">
        <v>507</v>
      </c>
      <c r="C179" s="35">
        <v>119</v>
      </c>
      <c r="D179" s="31"/>
      <c r="E179" s="35">
        <v>13059</v>
      </c>
      <c r="F179" s="31"/>
      <c r="G179" s="35">
        <v>13134</v>
      </c>
      <c r="H179" s="59"/>
      <c r="I179" s="59"/>
      <c r="J179" s="35">
        <v>809</v>
      </c>
      <c r="L179" s="35">
        <v>77709</v>
      </c>
      <c r="N179" s="35">
        <v>78159</v>
      </c>
    </row>
    <row r="180" spans="1:14" ht="11.25" customHeight="1">
      <c r="A180" s="75" t="s">
        <v>509</v>
      </c>
      <c r="B180" s="22"/>
      <c r="C180" s="35">
        <v>22</v>
      </c>
      <c r="D180" s="413" t="s">
        <v>542</v>
      </c>
      <c r="E180" s="35">
        <v>1248</v>
      </c>
      <c r="F180" s="413" t="s">
        <v>542</v>
      </c>
      <c r="G180" s="35">
        <v>2264</v>
      </c>
      <c r="H180" s="413" t="s">
        <v>542</v>
      </c>
      <c r="I180" s="413"/>
      <c r="J180" s="35">
        <v>10</v>
      </c>
      <c r="L180" s="35">
        <v>1669</v>
      </c>
      <c r="N180" s="35">
        <v>1831</v>
      </c>
    </row>
    <row r="181" spans="1:14" ht="11.25" customHeight="1">
      <c r="A181" s="92" t="s">
        <v>380</v>
      </c>
      <c r="B181" s="22"/>
      <c r="C181" s="513">
        <v>1094</v>
      </c>
      <c r="D181" s="514"/>
      <c r="E181" s="513">
        <v>99694</v>
      </c>
      <c r="F181" s="514"/>
      <c r="G181" s="513">
        <v>122870</v>
      </c>
      <c r="H181" s="83"/>
      <c r="I181" s="542"/>
      <c r="J181" s="513">
        <v>1434</v>
      </c>
      <c r="K181" s="514"/>
      <c r="L181" s="513">
        <v>123326</v>
      </c>
      <c r="M181" s="514"/>
      <c r="N181" s="513">
        <v>137768</v>
      </c>
    </row>
    <row r="182" spans="1:14" ht="11.25" customHeight="1">
      <c r="A182" s="80" t="s">
        <v>341</v>
      </c>
      <c r="B182" s="22"/>
      <c r="C182" s="35"/>
      <c r="D182" s="35"/>
      <c r="E182" s="35"/>
      <c r="F182" s="35"/>
      <c r="G182" s="35"/>
      <c r="H182" s="35"/>
      <c r="I182" s="35"/>
      <c r="J182" s="35"/>
      <c r="K182" s="35"/>
      <c r="L182" s="35"/>
      <c r="M182" s="35"/>
      <c r="N182" s="35"/>
    </row>
    <row r="183" spans="1:14" ht="11.25" customHeight="1">
      <c r="A183" s="75" t="s">
        <v>693</v>
      </c>
      <c r="B183" s="22"/>
      <c r="C183" s="35">
        <v>734</v>
      </c>
      <c r="D183" s="31"/>
      <c r="E183" s="35">
        <v>80854</v>
      </c>
      <c r="F183" s="31"/>
      <c r="G183" s="35">
        <v>81680</v>
      </c>
      <c r="H183" s="59"/>
      <c r="I183" s="59"/>
      <c r="J183" s="35">
        <v>713</v>
      </c>
      <c r="L183" s="35">
        <v>85087</v>
      </c>
      <c r="N183" s="35">
        <v>86132</v>
      </c>
    </row>
    <row r="184" spans="1:14" ht="11.25" customHeight="1">
      <c r="A184" s="75" t="s">
        <v>292</v>
      </c>
      <c r="B184" s="22"/>
      <c r="C184" s="35">
        <v>114</v>
      </c>
      <c r="D184" s="31"/>
      <c r="E184" s="35">
        <v>6306</v>
      </c>
      <c r="F184" s="31"/>
      <c r="G184" s="35">
        <v>9343</v>
      </c>
      <c r="H184" s="59"/>
      <c r="I184" s="59"/>
      <c r="J184" s="35">
        <v>46</v>
      </c>
      <c r="L184" s="35">
        <v>2655</v>
      </c>
      <c r="N184" s="35">
        <v>3781</v>
      </c>
    </row>
    <row r="185" spans="1:14" ht="11.25" customHeight="1">
      <c r="A185" s="381" t="s">
        <v>296</v>
      </c>
      <c r="B185" s="22"/>
      <c r="C185" s="35">
        <v>214</v>
      </c>
      <c r="D185" s="31"/>
      <c r="E185" s="35">
        <v>13049</v>
      </c>
      <c r="F185" s="31"/>
      <c r="G185" s="35">
        <v>19894</v>
      </c>
      <c r="H185" s="59"/>
      <c r="I185" s="59"/>
      <c r="J185" s="35">
        <v>58</v>
      </c>
      <c r="L185" s="35">
        <v>3378</v>
      </c>
      <c r="N185" s="35">
        <v>4706</v>
      </c>
    </row>
    <row r="186" spans="1:14" ht="11.25" customHeight="1">
      <c r="A186" s="75" t="s">
        <v>297</v>
      </c>
      <c r="B186" s="22"/>
      <c r="C186" s="35">
        <v>89</v>
      </c>
      <c r="D186" s="31"/>
      <c r="E186" s="35">
        <v>4450</v>
      </c>
      <c r="F186" s="31"/>
      <c r="G186" s="35">
        <v>12408</v>
      </c>
      <c r="H186" s="59"/>
      <c r="I186" s="59"/>
      <c r="J186" s="267" t="s">
        <v>25</v>
      </c>
      <c r="K186" s="35"/>
      <c r="L186" s="267" t="s">
        <v>25</v>
      </c>
      <c r="M186" s="35"/>
      <c r="N186" s="267" t="s">
        <v>25</v>
      </c>
    </row>
    <row r="187" spans="1:14" ht="11.25" customHeight="1">
      <c r="A187" s="75" t="s">
        <v>466</v>
      </c>
      <c r="B187" s="22"/>
      <c r="C187" s="35">
        <v>515</v>
      </c>
      <c r="D187" s="31"/>
      <c r="E187" s="35">
        <v>38080</v>
      </c>
      <c r="F187" s="31"/>
      <c r="G187" s="35">
        <v>45091</v>
      </c>
      <c r="H187" s="59"/>
      <c r="I187" s="59"/>
      <c r="J187" s="35">
        <v>529</v>
      </c>
      <c r="L187" s="35">
        <v>25458</v>
      </c>
      <c r="N187" s="35">
        <v>42647</v>
      </c>
    </row>
    <row r="188" spans="1:14" ht="11.25" customHeight="1">
      <c r="A188" s="75" t="s">
        <v>472</v>
      </c>
      <c r="B188" s="22"/>
      <c r="C188" s="61" t="s">
        <v>543</v>
      </c>
      <c r="D188" s="31"/>
      <c r="E188" s="35">
        <v>22</v>
      </c>
      <c r="F188" s="31"/>
      <c r="G188" s="35">
        <v>25</v>
      </c>
      <c r="H188" s="413"/>
      <c r="I188" s="413"/>
      <c r="J188" s="35">
        <v>7</v>
      </c>
      <c r="L188" s="35">
        <v>484</v>
      </c>
      <c r="N188" s="35">
        <v>494</v>
      </c>
    </row>
    <row r="189" spans="1:14" ht="11.25" customHeight="1">
      <c r="A189" s="92" t="s">
        <v>692</v>
      </c>
      <c r="B189" s="22"/>
      <c r="C189" s="517">
        <v>1666</v>
      </c>
      <c r="D189" s="518"/>
      <c r="E189" s="517">
        <v>142761</v>
      </c>
      <c r="F189" s="518"/>
      <c r="G189" s="519">
        <v>168440</v>
      </c>
      <c r="H189" s="290"/>
      <c r="I189" s="543"/>
      <c r="J189" s="517">
        <v>1353</v>
      </c>
      <c r="K189" s="543"/>
      <c r="L189" s="517">
        <v>117061</v>
      </c>
      <c r="M189" s="518"/>
      <c r="N189" s="517">
        <v>137759</v>
      </c>
    </row>
    <row r="190" spans="1:14" ht="11.25" customHeight="1">
      <c r="A190" s="76" t="s">
        <v>480</v>
      </c>
      <c r="B190" s="22"/>
      <c r="C190" s="293">
        <v>249</v>
      </c>
      <c r="D190" s="509"/>
      <c r="E190" s="293">
        <v>44156</v>
      </c>
      <c r="F190" s="520"/>
      <c r="G190" s="293">
        <v>46023</v>
      </c>
      <c r="H190" s="287"/>
      <c r="I190" s="509"/>
      <c r="J190" s="293">
        <v>240</v>
      </c>
      <c r="K190" s="293"/>
      <c r="L190" s="293">
        <v>47773</v>
      </c>
      <c r="M190" s="293"/>
      <c r="N190" s="293">
        <v>49812</v>
      </c>
    </row>
    <row r="191" spans="1:14" ht="11.25" customHeight="1">
      <c r="A191" s="76" t="s">
        <v>468</v>
      </c>
      <c r="B191" s="22"/>
      <c r="C191" s="35"/>
      <c r="D191" s="35"/>
      <c r="E191" s="35"/>
      <c r="F191" s="31"/>
      <c r="G191" s="35"/>
      <c r="H191" s="35"/>
      <c r="I191" s="35"/>
      <c r="J191" s="35"/>
      <c r="K191" s="35"/>
      <c r="L191" s="35"/>
    </row>
    <row r="192" spans="1:14" ht="11.25" customHeight="1">
      <c r="A192" s="281" t="s">
        <v>318</v>
      </c>
      <c r="B192" s="22"/>
      <c r="C192" s="61" t="s">
        <v>543</v>
      </c>
      <c r="D192" s="31"/>
      <c r="E192" s="44">
        <v>319</v>
      </c>
      <c r="F192" s="31"/>
      <c r="G192" s="44">
        <v>359</v>
      </c>
      <c r="H192" s="59"/>
      <c r="I192" s="59"/>
      <c r="J192" s="267" t="s">
        <v>25</v>
      </c>
      <c r="K192" s="35"/>
      <c r="L192" s="267" t="s">
        <v>25</v>
      </c>
      <c r="M192" s="35"/>
      <c r="N192" s="267" t="s">
        <v>25</v>
      </c>
    </row>
    <row r="193" spans="1:14" ht="11.25" customHeight="1">
      <c r="A193" s="75" t="s">
        <v>295</v>
      </c>
      <c r="B193" s="22"/>
      <c r="C193" s="61" t="s">
        <v>543</v>
      </c>
      <c r="D193" s="31"/>
      <c r="E193" s="44">
        <v>170</v>
      </c>
      <c r="F193" s="31"/>
      <c r="G193" s="44">
        <v>233</v>
      </c>
      <c r="H193" s="278"/>
      <c r="I193" s="95"/>
      <c r="J193" s="61" t="s">
        <v>543</v>
      </c>
      <c r="L193" s="44">
        <v>56</v>
      </c>
      <c r="N193" s="44">
        <v>66</v>
      </c>
    </row>
    <row r="194" spans="1:14" ht="11.25" customHeight="1">
      <c r="A194" s="92" t="s">
        <v>380</v>
      </c>
      <c r="B194" s="22"/>
      <c r="C194" s="523" t="s">
        <v>543</v>
      </c>
      <c r="D194" s="514"/>
      <c r="E194" s="513">
        <v>489</v>
      </c>
      <c r="F194" s="514"/>
      <c r="G194" s="522">
        <v>592</v>
      </c>
      <c r="H194" s="83"/>
      <c r="I194" s="542"/>
      <c r="J194" s="523" t="s">
        <v>543</v>
      </c>
      <c r="K194" s="514"/>
      <c r="L194" s="513">
        <v>56</v>
      </c>
      <c r="M194" s="514"/>
      <c r="N194" s="513">
        <v>66</v>
      </c>
    </row>
    <row r="195" spans="1:14" ht="11.25" customHeight="1">
      <c r="A195" s="76" t="s">
        <v>342</v>
      </c>
      <c r="B195" s="22"/>
      <c r="C195" s="35"/>
      <c r="D195" s="35"/>
      <c r="E195" s="35"/>
      <c r="F195" s="35"/>
      <c r="G195" s="35"/>
      <c r="H195" s="35"/>
      <c r="I195" s="35"/>
      <c r="J195" s="35"/>
      <c r="K195" s="35"/>
      <c r="L195" s="35"/>
      <c r="M195" s="35"/>
      <c r="N195" s="35"/>
    </row>
    <row r="196" spans="1:14" ht="11.25" customHeight="1">
      <c r="A196" s="75" t="s">
        <v>486</v>
      </c>
      <c r="B196" s="22"/>
      <c r="C196" s="267" t="s">
        <v>25</v>
      </c>
      <c r="D196" s="35"/>
      <c r="E196" s="267" t="s">
        <v>25</v>
      </c>
      <c r="F196" s="35"/>
      <c r="G196" s="267" t="s">
        <v>25</v>
      </c>
      <c r="H196" s="35"/>
      <c r="I196" s="35"/>
      <c r="J196" s="35">
        <v>187</v>
      </c>
      <c r="L196" s="35">
        <v>17412</v>
      </c>
      <c r="M196" s="35"/>
      <c r="N196" s="35">
        <v>17537</v>
      </c>
    </row>
    <row r="197" spans="1:14" ht="11.25" customHeight="1">
      <c r="A197" s="75" t="s">
        <v>317</v>
      </c>
      <c r="B197" s="22"/>
      <c r="C197" s="35">
        <v>550</v>
      </c>
      <c r="D197" s="31"/>
      <c r="E197" s="35">
        <v>29849</v>
      </c>
      <c r="F197" s="31"/>
      <c r="G197" s="35">
        <v>45580</v>
      </c>
      <c r="H197" s="59"/>
      <c r="I197" s="59"/>
      <c r="J197" s="35">
        <v>409</v>
      </c>
      <c r="L197" s="35">
        <v>26350</v>
      </c>
      <c r="N197" s="35">
        <v>37124</v>
      </c>
    </row>
    <row r="198" spans="1:14" ht="11.25" customHeight="1">
      <c r="A198" s="75" t="s">
        <v>293</v>
      </c>
      <c r="B198" s="22"/>
      <c r="C198" s="35">
        <v>312</v>
      </c>
      <c r="D198" s="31"/>
      <c r="E198" s="35">
        <v>22767</v>
      </c>
      <c r="F198" s="31"/>
      <c r="G198" s="35">
        <v>31886</v>
      </c>
      <c r="H198" s="46"/>
      <c r="I198" s="46"/>
      <c r="J198" s="35">
        <v>303</v>
      </c>
      <c r="L198" s="35">
        <v>24783</v>
      </c>
      <c r="N198" s="35">
        <v>37806</v>
      </c>
    </row>
    <row r="199" spans="1:14" ht="11.25" customHeight="1">
      <c r="A199" s="75" t="s">
        <v>320</v>
      </c>
      <c r="B199" s="22"/>
      <c r="C199" s="35">
        <v>589</v>
      </c>
      <c r="D199" s="31"/>
      <c r="E199" s="35">
        <v>59686</v>
      </c>
      <c r="F199" s="31"/>
      <c r="G199" s="35">
        <v>81581</v>
      </c>
      <c r="H199" s="46"/>
      <c r="I199" s="46"/>
      <c r="J199" s="35">
        <v>658</v>
      </c>
      <c r="L199" s="35">
        <v>65221</v>
      </c>
      <c r="N199" s="35">
        <v>76452</v>
      </c>
    </row>
    <row r="200" spans="1:14" ht="11.25" customHeight="1">
      <c r="A200" s="581" t="s">
        <v>507</v>
      </c>
      <c r="B200" s="22"/>
      <c r="C200" s="35">
        <v>15</v>
      </c>
      <c r="D200" s="31"/>
      <c r="E200" s="35">
        <v>1652</v>
      </c>
      <c r="F200" s="31"/>
      <c r="G200" s="35">
        <v>1677</v>
      </c>
      <c r="H200" s="46"/>
      <c r="I200" s="46"/>
      <c r="J200" s="35">
        <v>136</v>
      </c>
      <c r="L200" s="35">
        <v>12324</v>
      </c>
      <c r="N200" s="35">
        <v>12399</v>
      </c>
    </row>
    <row r="201" spans="1:14" ht="11.25" customHeight="1">
      <c r="A201" s="75" t="s">
        <v>472</v>
      </c>
      <c r="B201" s="22"/>
      <c r="C201" s="35">
        <v>84</v>
      </c>
      <c r="D201" s="413" t="s">
        <v>542</v>
      </c>
      <c r="E201" s="35">
        <v>11520</v>
      </c>
      <c r="F201" s="413" t="s">
        <v>542</v>
      </c>
      <c r="G201" s="35">
        <v>17995</v>
      </c>
      <c r="H201" s="413" t="s">
        <v>542</v>
      </c>
      <c r="I201" s="46"/>
      <c r="J201" s="35">
        <v>198</v>
      </c>
      <c r="L201" s="35">
        <v>13049</v>
      </c>
      <c r="N201" s="35">
        <v>23239</v>
      </c>
    </row>
    <row r="202" spans="1:14" ht="11.25" customHeight="1">
      <c r="A202" s="92" t="s">
        <v>380</v>
      </c>
      <c r="B202" s="22"/>
      <c r="C202" s="517">
        <v>1551</v>
      </c>
      <c r="D202" s="518"/>
      <c r="E202" s="517">
        <v>125474</v>
      </c>
      <c r="F202" s="518"/>
      <c r="G202" s="517">
        <v>178718</v>
      </c>
      <c r="H202" s="87"/>
      <c r="I202" s="544"/>
      <c r="J202" s="517">
        <v>1891</v>
      </c>
      <c r="K202" s="517"/>
      <c r="L202" s="517">
        <v>159139</v>
      </c>
      <c r="M202" s="517"/>
      <c r="N202" s="517">
        <v>204557</v>
      </c>
    </row>
    <row r="203" spans="1:14" ht="11.25" customHeight="1">
      <c r="A203" s="76" t="s">
        <v>510</v>
      </c>
      <c r="B203" s="22"/>
      <c r="C203" s="293">
        <v>2</v>
      </c>
      <c r="D203" s="411"/>
      <c r="E203" s="293">
        <v>118</v>
      </c>
      <c r="F203" s="412"/>
      <c r="G203" s="293">
        <v>119</v>
      </c>
      <c r="H203" s="411"/>
      <c r="I203" s="411"/>
      <c r="J203" s="293">
        <v>4</v>
      </c>
      <c r="K203" s="412"/>
      <c r="L203" s="411">
        <v>323</v>
      </c>
      <c r="M203" s="412"/>
      <c r="N203" s="293">
        <v>325</v>
      </c>
    </row>
    <row r="204" spans="1:14" ht="11.25" customHeight="1">
      <c r="A204" s="76" t="s">
        <v>384</v>
      </c>
      <c r="B204" s="22"/>
      <c r="C204" s="263"/>
      <c r="D204" s="263"/>
      <c r="E204" s="263"/>
      <c r="F204" s="263"/>
      <c r="G204" s="263"/>
      <c r="H204" s="263"/>
      <c r="I204" s="263"/>
      <c r="J204" s="263"/>
      <c r="K204" s="263"/>
      <c r="L204" s="263"/>
      <c r="M204" s="263"/>
      <c r="N204" s="263"/>
    </row>
    <row r="205" spans="1:14" ht="11.25" customHeight="1">
      <c r="A205" s="75" t="s">
        <v>467</v>
      </c>
      <c r="B205" s="22"/>
      <c r="C205" s="263">
        <v>27</v>
      </c>
      <c r="D205" s="31"/>
      <c r="E205" s="263">
        <v>2758</v>
      </c>
      <c r="F205" s="31"/>
      <c r="G205" s="263">
        <v>2794</v>
      </c>
      <c r="H205" s="263"/>
      <c r="I205" s="263"/>
      <c r="J205" s="263">
        <v>26</v>
      </c>
      <c r="L205" s="263">
        <v>1743</v>
      </c>
      <c r="N205" s="263">
        <v>2431</v>
      </c>
    </row>
    <row r="206" spans="1:14" ht="11.25" customHeight="1">
      <c r="A206" s="75" t="s">
        <v>320</v>
      </c>
      <c r="B206" s="22"/>
      <c r="C206" s="35">
        <v>94</v>
      </c>
      <c r="D206" s="31"/>
      <c r="E206" s="28">
        <v>6246</v>
      </c>
      <c r="F206" s="31"/>
      <c r="G206" s="28">
        <v>8260</v>
      </c>
      <c r="H206" s="63"/>
      <c r="I206" s="63"/>
      <c r="J206" s="35">
        <v>262</v>
      </c>
      <c r="L206" s="263">
        <v>23298</v>
      </c>
      <c r="N206" s="28">
        <v>29091</v>
      </c>
    </row>
    <row r="207" spans="1:14" ht="11.25" customHeight="1">
      <c r="A207" s="572" t="s">
        <v>466</v>
      </c>
      <c r="B207" s="22"/>
      <c r="C207" s="267" t="s">
        <v>25</v>
      </c>
      <c r="D207" s="35"/>
      <c r="E207" s="267" t="s">
        <v>25</v>
      </c>
      <c r="F207" s="35"/>
      <c r="G207" s="267" t="s">
        <v>25</v>
      </c>
      <c r="H207" s="63"/>
      <c r="I207" s="63"/>
      <c r="J207" s="35">
        <v>23</v>
      </c>
      <c r="L207" s="263">
        <v>1103</v>
      </c>
      <c r="N207" s="28">
        <v>1942</v>
      </c>
    </row>
    <row r="208" spans="1:14" ht="11.25" customHeight="1">
      <c r="A208" s="75" t="s">
        <v>474</v>
      </c>
      <c r="B208" s="22"/>
      <c r="C208" s="35">
        <v>15</v>
      </c>
      <c r="D208" s="31"/>
      <c r="E208" s="28">
        <v>996</v>
      </c>
      <c r="F208" s="31"/>
      <c r="G208" s="28">
        <v>1605</v>
      </c>
      <c r="H208" s="63"/>
      <c r="I208" s="63"/>
      <c r="J208" s="61" t="s">
        <v>543</v>
      </c>
      <c r="L208" s="263">
        <v>36</v>
      </c>
      <c r="N208" s="28">
        <v>39</v>
      </c>
    </row>
    <row r="209" spans="1:26" ht="11.25" customHeight="1">
      <c r="A209" s="92" t="s">
        <v>380</v>
      </c>
      <c r="B209" s="22"/>
      <c r="C209" s="513">
        <v>136</v>
      </c>
      <c r="D209" s="514"/>
      <c r="E209" s="515">
        <v>10001</v>
      </c>
      <c r="F209" s="514"/>
      <c r="G209" s="513">
        <v>12659</v>
      </c>
      <c r="H209" s="90"/>
      <c r="I209" s="545"/>
      <c r="J209" s="513">
        <v>311</v>
      </c>
      <c r="K209" s="514"/>
      <c r="L209" s="515">
        <v>26181</v>
      </c>
      <c r="M209" s="514"/>
      <c r="N209" s="515">
        <v>33502</v>
      </c>
    </row>
    <row r="210" spans="1:26" ht="11.25" customHeight="1">
      <c r="A210" s="75" t="s">
        <v>844</v>
      </c>
      <c r="B210" s="22"/>
      <c r="C210" s="293">
        <v>26006</v>
      </c>
      <c r="D210" s="293"/>
      <c r="E210" s="293">
        <v>2131101</v>
      </c>
      <c r="F210" s="579" t="s">
        <v>542</v>
      </c>
      <c r="G210" s="293">
        <v>2634061</v>
      </c>
      <c r="H210" s="579" t="s">
        <v>542</v>
      </c>
      <c r="I210" s="293"/>
      <c r="J210" s="293">
        <v>25907</v>
      </c>
      <c r="K210" s="293"/>
      <c r="L210" s="293">
        <v>2187840</v>
      </c>
      <c r="M210" s="293"/>
      <c r="N210" s="293">
        <v>2651626</v>
      </c>
    </row>
    <row r="211" spans="1:26" ht="11.25" customHeight="1">
      <c r="A211" s="76" t="s">
        <v>343</v>
      </c>
      <c r="B211" s="22"/>
      <c r="C211" s="263"/>
      <c r="D211" s="263"/>
      <c r="E211" s="263"/>
      <c r="F211" s="263"/>
      <c r="G211" s="263"/>
      <c r="H211" s="263"/>
      <c r="I211" s="263"/>
      <c r="J211" s="263"/>
      <c r="K211" s="263"/>
      <c r="L211" s="263"/>
      <c r="M211" s="263"/>
      <c r="N211" s="263"/>
    </row>
    <row r="212" spans="1:26" ht="11.25" customHeight="1">
      <c r="A212" s="75" t="s">
        <v>486</v>
      </c>
      <c r="B212" s="22"/>
      <c r="C212" s="267" t="s">
        <v>25</v>
      </c>
      <c r="D212" s="35"/>
      <c r="E212" s="267" t="s">
        <v>25</v>
      </c>
      <c r="F212" s="35"/>
      <c r="G212" s="267" t="s">
        <v>25</v>
      </c>
      <c r="H212" s="263"/>
      <c r="I212" s="263"/>
      <c r="J212" s="263">
        <v>73</v>
      </c>
      <c r="L212" s="263">
        <v>3239</v>
      </c>
      <c r="M212" s="263"/>
      <c r="N212" s="263">
        <v>4816</v>
      </c>
    </row>
    <row r="213" spans="1:26" ht="11.25" customHeight="1">
      <c r="A213" s="75" t="s">
        <v>467</v>
      </c>
      <c r="B213" s="22"/>
      <c r="C213" s="86">
        <v>343</v>
      </c>
      <c r="D213" s="31"/>
      <c r="E213" s="28">
        <v>31508</v>
      </c>
      <c r="F213" s="31"/>
      <c r="G213" s="28">
        <v>38214</v>
      </c>
      <c r="H213" s="63"/>
      <c r="I213" s="63"/>
      <c r="J213" s="263">
        <v>353</v>
      </c>
      <c r="L213" s="263">
        <v>26619</v>
      </c>
      <c r="N213" s="263">
        <v>34734</v>
      </c>
      <c r="P213" s="40"/>
      <c r="Q213" s="40"/>
      <c r="R213" s="40"/>
      <c r="S213" s="40"/>
      <c r="T213" s="40"/>
      <c r="U213" s="40"/>
      <c r="V213" s="40"/>
      <c r="W213" s="40"/>
      <c r="X213" s="40"/>
      <c r="Y213" s="40"/>
      <c r="Z213" s="40"/>
    </row>
    <row r="214" spans="1:26" ht="11.25" customHeight="1">
      <c r="A214" s="381" t="s">
        <v>315</v>
      </c>
      <c r="B214" s="22"/>
      <c r="C214" s="61" t="s">
        <v>543</v>
      </c>
      <c r="D214" s="31"/>
      <c r="E214" s="28">
        <v>37</v>
      </c>
      <c r="F214" s="31"/>
      <c r="G214" s="28">
        <v>85</v>
      </c>
      <c r="H214" s="63"/>
      <c r="I214" s="63"/>
      <c r="J214" s="263">
        <v>45</v>
      </c>
      <c r="L214" s="263">
        <v>2151</v>
      </c>
      <c r="N214" s="263">
        <v>2893</v>
      </c>
      <c r="P214" s="40"/>
      <c r="Q214" s="40"/>
      <c r="R214" s="40"/>
      <c r="S214" s="40"/>
      <c r="T214" s="40"/>
      <c r="U214" s="40"/>
      <c r="V214" s="40"/>
      <c r="W214" s="40"/>
      <c r="X214" s="40"/>
      <c r="Y214" s="40"/>
      <c r="Z214" s="40"/>
    </row>
    <row r="215" spans="1:26" ht="11.25" customHeight="1">
      <c r="A215" s="505" t="s">
        <v>294</v>
      </c>
      <c r="B215" s="22"/>
      <c r="C215" s="267" t="s">
        <v>25</v>
      </c>
      <c r="D215" s="35"/>
      <c r="E215" s="267" t="s">
        <v>25</v>
      </c>
      <c r="F215" s="35"/>
      <c r="G215" s="267" t="s">
        <v>25</v>
      </c>
      <c r="H215" s="88"/>
      <c r="I215" s="88"/>
      <c r="J215" s="263">
        <v>5</v>
      </c>
      <c r="L215" s="263">
        <v>536</v>
      </c>
      <c r="M215" s="35"/>
      <c r="N215" s="263">
        <v>750</v>
      </c>
    </row>
    <row r="216" spans="1:26" ht="11.25" customHeight="1">
      <c r="A216" s="281" t="s">
        <v>503</v>
      </c>
      <c r="B216" s="22"/>
      <c r="C216" s="86">
        <v>199</v>
      </c>
      <c r="D216" s="31"/>
      <c r="E216" s="28">
        <v>6530</v>
      </c>
      <c r="F216" s="31"/>
      <c r="G216" s="28">
        <v>8916</v>
      </c>
      <c r="H216" s="88"/>
      <c r="I216" s="88"/>
      <c r="J216" s="267" t="s">
        <v>25</v>
      </c>
      <c r="K216" s="35"/>
      <c r="L216" s="267" t="s">
        <v>25</v>
      </c>
      <c r="M216" s="35"/>
      <c r="N216" s="267" t="s">
        <v>25</v>
      </c>
    </row>
    <row r="217" spans="1:26" ht="11.25" customHeight="1">
      <c r="A217" s="75" t="s">
        <v>465</v>
      </c>
      <c r="B217" s="22"/>
      <c r="C217" s="86">
        <v>24</v>
      </c>
      <c r="D217" s="31"/>
      <c r="E217" s="28">
        <v>3767</v>
      </c>
      <c r="F217" s="31"/>
      <c r="G217" s="28">
        <v>5300</v>
      </c>
      <c r="H217" s="88"/>
      <c r="I217" s="88"/>
      <c r="J217" s="86">
        <v>22</v>
      </c>
      <c r="L217" s="263">
        <v>2936</v>
      </c>
      <c r="N217" s="263">
        <v>4022</v>
      </c>
    </row>
    <row r="218" spans="1:26" ht="11.25" customHeight="1">
      <c r="A218" s="75" t="s">
        <v>320</v>
      </c>
      <c r="B218" s="22"/>
      <c r="C218" s="267" t="s">
        <v>25</v>
      </c>
      <c r="D218" s="35"/>
      <c r="E218" s="267" t="s">
        <v>25</v>
      </c>
      <c r="F218" s="35"/>
      <c r="G218" s="267" t="s">
        <v>25</v>
      </c>
      <c r="H218" s="88"/>
      <c r="I218" s="88"/>
      <c r="J218" s="86">
        <v>52</v>
      </c>
      <c r="L218" s="263">
        <v>2484</v>
      </c>
      <c r="M218" s="35"/>
      <c r="N218" s="263">
        <v>3817</v>
      </c>
    </row>
    <row r="219" spans="1:26" ht="11.25" customHeight="1">
      <c r="A219" s="75" t="s">
        <v>478</v>
      </c>
      <c r="B219" s="22"/>
      <c r="C219" s="28">
        <v>1</v>
      </c>
      <c r="D219" s="31"/>
      <c r="E219" s="28">
        <v>91</v>
      </c>
      <c r="F219" s="31"/>
      <c r="G219" s="28">
        <v>93</v>
      </c>
      <c r="H219" s="95"/>
      <c r="I219" s="95"/>
      <c r="J219" s="61" t="s">
        <v>543</v>
      </c>
      <c r="L219" s="263">
        <v>83</v>
      </c>
      <c r="N219" s="263">
        <v>98</v>
      </c>
    </row>
    <row r="220" spans="1:26" s="144" customFormat="1" ht="11.25" customHeight="1">
      <c r="A220" s="92" t="s">
        <v>380</v>
      </c>
      <c r="B220" s="22"/>
      <c r="C220" s="77">
        <v>567</v>
      </c>
      <c r="D220" s="262"/>
      <c r="E220" s="77">
        <v>41933</v>
      </c>
      <c r="F220" s="262"/>
      <c r="G220" s="77">
        <v>52608</v>
      </c>
      <c r="H220" s="262"/>
      <c r="I220" s="546"/>
      <c r="J220" s="77">
        <v>550</v>
      </c>
      <c r="K220" s="262"/>
      <c r="L220" s="77">
        <v>38048</v>
      </c>
      <c r="M220" s="262"/>
      <c r="N220" s="77">
        <v>51128</v>
      </c>
    </row>
    <row r="221" spans="1:26" s="144" customFormat="1" ht="11.25" customHeight="1">
      <c r="A221" s="75" t="s">
        <v>843</v>
      </c>
      <c r="B221" s="81"/>
      <c r="C221" s="85">
        <v>26573</v>
      </c>
      <c r="D221" s="43"/>
      <c r="E221" s="85">
        <v>2173034</v>
      </c>
      <c r="F221" s="43" t="s">
        <v>542</v>
      </c>
      <c r="G221" s="85">
        <v>2686668</v>
      </c>
      <c r="H221" s="278" t="s">
        <v>542</v>
      </c>
      <c r="I221" s="547"/>
      <c r="J221" s="85">
        <v>26457</v>
      </c>
      <c r="K221" s="43"/>
      <c r="L221" s="85">
        <v>2225888</v>
      </c>
      <c r="M221" s="43"/>
      <c r="N221" s="85">
        <v>2702754</v>
      </c>
    </row>
    <row r="222" spans="1:26" s="144" customFormat="1" ht="11.25" customHeight="1">
      <c r="A222" s="782" t="s">
        <v>381</v>
      </c>
      <c r="B222" s="782"/>
      <c r="C222" s="782"/>
      <c r="D222" s="782"/>
      <c r="E222" s="782"/>
      <c r="F222" s="782"/>
      <c r="G222" s="782"/>
      <c r="H222" s="782"/>
      <c r="I222" s="802"/>
      <c r="J222" s="802"/>
      <c r="K222" s="802"/>
      <c r="L222" s="802"/>
      <c r="M222" s="802"/>
      <c r="N222" s="802"/>
    </row>
    <row r="223" spans="1:26" s="144" customFormat="1" ht="22.5" customHeight="1">
      <c r="A223" s="803" t="s">
        <v>744</v>
      </c>
      <c r="B223" s="700"/>
      <c r="C223" s="700"/>
      <c r="D223" s="700"/>
      <c r="E223" s="700"/>
      <c r="F223" s="700"/>
      <c r="G223" s="700"/>
      <c r="H223" s="700"/>
      <c r="I223" s="700"/>
      <c r="J223" s="700"/>
      <c r="K223" s="700"/>
      <c r="L223" s="700"/>
      <c r="M223" s="700"/>
      <c r="N223" s="700"/>
    </row>
    <row r="224" spans="1:26" s="144" customFormat="1" ht="22.5" customHeight="1">
      <c r="A224" s="803" t="s">
        <v>382</v>
      </c>
      <c r="B224" s="700"/>
      <c r="C224" s="700"/>
      <c r="D224" s="700"/>
      <c r="E224" s="700"/>
      <c r="F224" s="700"/>
      <c r="G224" s="700"/>
      <c r="H224" s="700"/>
      <c r="I224" s="700"/>
      <c r="J224" s="700"/>
      <c r="K224" s="700"/>
      <c r="L224" s="700"/>
      <c r="M224" s="700"/>
      <c r="N224" s="700"/>
    </row>
    <row r="225" spans="1:14" s="144" customFormat="1" ht="22.5" customHeight="1">
      <c r="A225" s="803" t="s">
        <v>813</v>
      </c>
      <c r="B225" s="700"/>
      <c r="C225" s="700"/>
      <c r="D225" s="700"/>
      <c r="E225" s="700"/>
      <c r="F225" s="700"/>
      <c r="G225" s="700"/>
      <c r="H225" s="700"/>
      <c r="I225" s="700"/>
      <c r="J225" s="700"/>
      <c r="K225" s="700"/>
      <c r="L225" s="700"/>
      <c r="M225" s="700"/>
      <c r="N225" s="700"/>
    </row>
    <row r="226" spans="1:14" s="554" customFormat="1" ht="11.25" customHeight="1">
      <c r="A226" s="811" t="s">
        <v>383</v>
      </c>
      <c r="B226" s="699"/>
      <c r="C226" s="699"/>
      <c r="D226" s="699"/>
      <c r="E226" s="699"/>
      <c r="F226" s="699"/>
      <c r="G226" s="699"/>
      <c r="H226" s="699"/>
      <c r="I226" s="699"/>
      <c r="J226" s="699"/>
      <c r="K226" s="699"/>
      <c r="L226" s="699"/>
      <c r="M226" s="699"/>
      <c r="N226" s="699"/>
    </row>
    <row r="227" spans="1:14" s="554" customFormat="1" ht="11.25" customHeight="1">
      <c r="A227" s="812" t="s">
        <v>348</v>
      </c>
      <c r="B227" s="699"/>
      <c r="C227" s="699"/>
      <c r="D227" s="699"/>
      <c r="E227" s="699"/>
      <c r="F227" s="699"/>
      <c r="G227" s="699"/>
      <c r="H227" s="699"/>
      <c r="I227" s="699"/>
      <c r="J227" s="699"/>
      <c r="K227" s="699"/>
      <c r="L227" s="699"/>
      <c r="M227" s="699"/>
      <c r="N227" s="699"/>
    </row>
    <row r="228" spans="1:14" s="554" customFormat="1" ht="11.25" customHeight="1">
      <c r="A228" s="812" t="s">
        <v>842</v>
      </c>
      <c r="B228" s="812"/>
      <c r="C228" s="812"/>
      <c r="D228" s="812"/>
      <c r="E228" s="812"/>
      <c r="F228" s="812"/>
      <c r="G228" s="812"/>
      <c r="H228" s="812"/>
      <c r="I228" s="812"/>
      <c r="J228" s="812"/>
      <c r="K228" s="812"/>
      <c r="L228" s="812"/>
      <c r="M228" s="812"/>
      <c r="N228" s="812"/>
    </row>
    <row r="229" spans="1:14" ht="12" customHeight="1">
      <c r="A229" s="810"/>
      <c r="B229" s="699"/>
      <c r="C229" s="699"/>
      <c r="D229" s="699"/>
      <c r="E229" s="699"/>
      <c r="F229" s="699"/>
      <c r="G229" s="699"/>
      <c r="H229" s="699"/>
      <c r="I229" s="699"/>
      <c r="J229" s="699"/>
      <c r="K229" s="699"/>
      <c r="L229" s="699"/>
      <c r="M229" s="699"/>
      <c r="N229" s="699"/>
    </row>
    <row r="230" spans="1:14" ht="11.25" customHeight="1">
      <c r="A230" s="694" t="s">
        <v>301</v>
      </c>
      <c r="B230" s="699"/>
      <c r="C230" s="699"/>
      <c r="D230" s="699"/>
      <c r="E230" s="699"/>
      <c r="F230" s="699"/>
      <c r="G230" s="699"/>
      <c r="H230" s="699"/>
      <c r="I230" s="699"/>
      <c r="J230" s="699"/>
      <c r="K230" s="699"/>
      <c r="L230" s="699"/>
      <c r="M230" s="699"/>
      <c r="N230" s="699"/>
    </row>
    <row r="231" spans="1:14" ht="11.25" customHeight="1">
      <c r="C231" s="289"/>
      <c r="D231" s="289"/>
      <c r="E231" s="289"/>
      <c r="F231" s="289"/>
      <c r="G231" s="289"/>
      <c r="H231" s="289"/>
      <c r="I231" s="289"/>
      <c r="J231" s="289"/>
      <c r="K231" s="289"/>
      <c r="L231" s="289"/>
      <c r="M231" s="289"/>
      <c r="N231" s="289"/>
    </row>
    <row r="232" spans="1:14" ht="11.25" customHeight="1">
      <c r="C232" s="40"/>
      <c r="E232" s="40"/>
      <c r="F232" s="40"/>
      <c r="G232" s="40"/>
      <c r="H232" s="40"/>
      <c r="I232" s="40"/>
      <c r="J232" s="40"/>
      <c r="K232" s="40"/>
      <c r="L232" s="40"/>
      <c r="M232" s="40"/>
      <c r="N232" s="40"/>
    </row>
    <row r="233" spans="1:14" ht="11.25" customHeight="1">
      <c r="C233" s="40"/>
      <c r="E233" s="40"/>
      <c r="F233" s="40"/>
      <c r="G233" s="40"/>
      <c r="H233" s="40"/>
      <c r="I233" s="40"/>
      <c r="J233" s="40"/>
      <c r="K233" s="40"/>
      <c r="L233" s="40"/>
      <c r="M233" s="40"/>
      <c r="N233" s="40"/>
    </row>
    <row r="234" spans="1:14" ht="11.25" customHeight="1">
      <c r="C234" s="40"/>
      <c r="E234" s="40"/>
      <c r="F234" s="40"/>
      <c r="G234" s="40"/>
      <c r="H234" s="40"/>
      <c r="I234" s="40"/>
      <c r="J234" s="40"/>
      <c r="K234" s="40"/>
      <c r="L234" s="40"/>
      <c r="M234" s="40"/>
      <c r="N234" s="40"/>
    </row>
    <row r="237" spans="1:14" ht="22.5" customHeight="1"/>
    <row r="238" spans="1:14" ht="22.5" customHeight="1"/>
    <row r="239" spans="1:14" ht="22.5" customHeight="1"/>
  </sheetData>
  <sortState xmlns:xlrd2="http://schemas.microsoft.com/office/spreadsheetml/2017/richdata2" ref="B74:B83">
    <sortCondition ref="B74:B83"/>
  </sortState>
  <mergeCells count="18">
    <mergeCell ref="A229:N229"/>
    <mergeCell ref="A230:N230"/>
    <mergeCell ref="A224:N224"/>
    <mergeCell ref="A225:N225"/>
    <mergeCell ref="A226:N226"/>
    <mergeCell ref="A227:N227"/>
    <mergeCell ref="A228:N228"/>
    <mergeCell ref="A1:N1"/>
    <mergeCell ref="A2:N2"/>
    <mergeCell ref="A3:N3"/>
    <mergeCell ref="A222:N222"/>
    <mergeCell ref="A223:N223"/>
    <mergeCell ref="E7:G7"/>
    <mergeCell ref="A4:N4"/>
    <mergeCell ref="A5:N5"/>
    <mergeCell ref="J6:N6"/>
    <mergeCell ref="L7:N7"/>
    <mergeCell ref="C6:H6"/>
  </mergeCells>
  <pageMargins left="0.5" right="0.5" top="0.75" bottom="0.5" header="0.3" footer="0.3"/>
  <pageSetup fitToWidth="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F3D6-A600-4A85-A174-690B24089E3B}">
  <dimension ref="A1:P47"/>
  <sheetViews>
    <sheetView zoomScaleNormal="100" workbookViewId="0">
      <selection activeCell="A40" sqref="A40:N40"/>
    </sheetView>
  </sheetViews>
  <sheetFormatPr defaultColWidth="9.26953125" defaultRowHeight="11.25" customHeight="1"/>
  <cols>
    <col min="1" max="1" width="28.7265625" style="3" customWidth="1"/>
    <col min="2" max="2" width="1.7265625" style="3" customWidth="1"/>
    <col min="3" max="3" width="8.7265625" style="3" customWidth="1"/>
    <col min="4" max="4" width="1.7265625" style="3" customWidth="1"/>
    <col min="5" max="5" width="8.7265625" style="3" customWidth="1"/>
    <col min="6" max="6" width="1.7265625" style="3" customWidth="1"/>
    <col min="7" max="7" width="8.7265625" style="3" customWidth="1"/>
    <col min="8" max="9" width="1.7265625" style="3" customWidth="1"/>
    <col min="10" max="10" width="8.7265625" style="3" customWidth="1"/>
    <col min="11" max="11" width="1.7265625" style="3" customWidth="1"/>
    <col min="12" max="12" width="8.7265625" style="3" customWidth="1"/>
    <col min="13" max="13" width="1.7265625" style="3" customWidth="1"/>
    <col min="14" max="14" width="8.7265625" style="3" customWidth="1"/>
    <col min="15" max="16384" width="9.26953125" style="3"/>
  </cols>
  <sheetData>
    <row r="1" spans="1:16" ht="11.25" customHeight="1">
      <c r="A1" s="821" t="s">
        <v>344</v>
      </c>
      <c r="B1" s="821"/>
      <c r="C1" s="821"/>
      <c r="D1" s="821"/>
      <c r="E1" s="821"/>
      <c r="F1" s="821"/>
      <c r="G1" s="821"/>
      <c r="H1" s="821"/>
      <c r="I1" s="821"/>
      <c r="J1" s="821"/>
      <c r="K1" s="821"/>
      <c r="L1" s="821"/>
      <c r="M1" s="821"/>
      <c r="N1" s="821"/>
    </row>
    <row r="2" spans="1:16" ht="11.25" customHeight="1">
      <c r="A2" s="821" t="s">
        <v>385</v>
      </c>
      <c r="B2" s="821"/>
      <c r="C2" s="821"/>
      <c r="D2" s="821"/>
      <c r="E2" s="821"/>
      <c r="F2" s="821"/>
      <c r="G2" s="821"/>
      <c r="H2" s="821"/>
      <c r="I2" s="821"/>
      <c r="J2" s="821"/>
      <c r="K2" s="821"/>
      <c r="L2" s="821"/>
      <c r="M2" s="821"/>
      <c r="N2" s="821"/>
    </row>
    <row r="3" spans="1:16" ht="11.25" customHeight="1">
      <c r="A3" s="821"/>
      <c r="B3" s="745"/>
      <c r="C3" s="745"/>
      <c r="D3" s="745"/>
      <c r="E3" s="745"/>
      <c r="F3" s="745"/>
      <c r="G3" s="745"/>
      <c r="H3" s="745"/>
      <c r="I3" s="745"/>
      <c r="J3" s="745"/>
      <c r="K3" s="745"/>
      <c r="L3" s="745"/>
      <c r="M3" s="745"/>
      <c r="N3" s="745"/>
    </row>
    <row r="4" spans="1:16" ht="11.25" customHeight="1">
      <c r="A4" s="821" t="s">
        <v>281</v>
      </c>
      <c r="B4" s="821"/>
      <c r="C4" s="821"/>
      <c r="D4" s="821"/>
      <c r="E4" s="821"/>
      <c r="F4" s="821"/>
      <c r="G4" s="821"/>
      <c r="H4" s="821"/>
      <c r="I4" s="821"/>
      <c r="J4" s="821"/>
      <c r="K4" s="821"/>
      <c r="L4" s="821"/>
      <c r="M4" s="821"/>
      <c r="N4" s="821"/>
    </row>
    <row r="5" spans="1:16" ht="11.25" customHeight="1">
      <c r="A5" s="814"/>
      <c r="B5" s="815"/>
      <c r="C5" s="815"/>
      <c r="D5" s="815"/>
      <c r="E5" s="815"/>
      <c r="F5" s="815"/>
      <c r="G5" s="815"/>
      <c r="H5" s="815"/>
      <c r="I5" s="815"/>
      <c r="J5" s="815"/>
      <c r="K5" s="815"/>
      <c r="L5" s="815"/>
      <c r="M5" s="815"/>
      <c r="N5" s="815"/>
    </row>
    <row r="6" spans="1:16" ht="11.25" customHeight="1">
      <c r="A6" s="107"/>
      <c r="B6" s="107"/>
      <c r="C6" s="818" t="s">
        <v>533</v>
      </c>
      <c r="D6" s="819"/>
      <c r="E6" s="819"/>
      <c r="F6" s="819"/>
      <c r="G6" s="819"/>
      <c r="H6" s="820"/>
      <c r="I6" s="155"/>
      <c r="J6" s="824" t="s">
        <v>724</v>
      </c>
      <c r="K6" s="787"/>
      <c r="L6" s="787"/>
      <c r="M6" s="787"/>
      <c r="N6" s="787"/>
    </row>
    <row r="7" spans="1:16" ht="11.25" customHeight="1">
      <c r="A7" s="70"/>
      <c r="B7" s="70"/>
      <c r="C7" s="142"/>
      <c r="D7" s="142"/>
      <c r="E7" s="823" t="s">
        <v>303</v>
      </c>
      <c r="F7" s="793"/>
      <c r="G7" s="793"/>
      <c r="H7" s="551"/>
      <c r="I7" s="230"/>
      <c r="J7" s="142"/>
      <c r="K7" s="142"/>
      <c r="L7" s="807" t="s">
        <v>303</v>
      </c>
      <c r="M7" s="825"/>
      <c r="N7" s="825"/>
    </row>
    <row r="8" spans="1:16" ht="11.25" customHeight="1">
      <c r="A8" s="97" t="s">
        <v>386</v>
      </c>
      <c r="B8" s="145"/>
      <c r="C8" s="807" t="s">
        <v>62</v>
      </c>
      <c r="D8" s="816"/>
      <c r="E8" s="817" t="s">
        <v>304</v>
      </c>
      <c r="F8" s="731"/>
      <c r="G8" s="524" t="s">
        <v>305</v>
      </c>
      <c r="H8" s="524"/>
      <c r="I8" s="156"/>
      <c r="J8" s="807" t="s">
        <v>62</v>
      </c>
      <c r="K8" s="816"/>
      <c r="L8" s="826" t="s">
        <v>304</v>
      </c>
      <c r="M8" s="827"/>
      <c r="N8" s="143" t="s">
        <v>305</v>
      </c>
    </row>
    <row r="9" spans="1:16" ht="11.25" customHeight="1">
      <c r="A9" s="98" t="s">
        <v>486</v>
      </c>
      <c r="B9" s="70"/>
      <c r="C9" s="35">
        <v>173</v>
      </c>
      <c r="D9" s="134"/>
      <c r="E9" s="35">
        <v>18162</v>
      </c>
      <c r="F9" s="134"/>
      <c r="G9" s="35">
        <v>18262</v>
      </c>
      <c r="H9" s="35"/>
      <c r="I9" s="230"/>
      <c r="J9" s="35">
        <v>532</v>
      </c>
      <c r="K9" s="134"/>
      <c r="L9" s="35">
        <v>52871</v>
      </c>
      <c r="M9" s="134"/>
      <c r="N9" s="35">
        <v>53280</v>
      </c>
      <c r="P9" s="408"/>
    </row>
    <row r="10" spans="1:16" ht="11.25" customHeight="1">
      <c r="A10" s="98" t="s">
        <v>345</v>
      </c>
      <c r="B10" s="22"/>
      <c r="C10" s="35">
        <v>3751</v>
      </c>
      <c r="E10" s="35">
        <v>388833</v>
      </c>
      <c r="F10" s="95" t="s">
        <v>542</v>
      </c>
      <c r="G10" s="35">
        <v>399777</v>
      </c>
      <c r="H10" s="95" t="s">
        <v>542</v>
      </c>
      <c r="I10" s="95"/>
      <c r="J10" s="35">
        <v>3863</v>
      </c>
      <c r="L10" s="35">
        <v>430310</v>
      </c>
      <c r="N10" s="35">
        <v>442161</v>
      </c>
      <c r="P10" s="408"/>
    </row>
    <row r="11" spans="1:16" ht="11.25" customHeight="1">
      <c r="A11" s="98" t="s">
        <v>467</v>
      </c>
      <c r="C11" s="35">
        <v>390</v>
      </c>
      <c r="E11" s="35">
        <v>40088</v>
      </c>
      <c r="G11" s="35">
        <v>45259</v>
      </c>
      <c r="H11" s="35"/>
      <c r="I11" s="105"/>
      <c r="J11" s="35">
        <v>503</v>
      </c>
      <c r="L11" s="35">
        <v>35126</v>
      </c>
      <c r="N11" s="35">
        <v>53174</v>
      </c>
      <c r="P11" s="408"/>
    </row>
    <row r="12" spans="1:16" ht="11.25" customHeight="1">
      <c r="A12" s="98" t="s">
        <v>315</v>
      </c>
      <c r="C12" s="35">
        <v>296</v>
      </c>
      <c r="E12" s="35">
        <v>28592</v>
      </c>
      <c r="G12" s="35">
        <v>31682</v>
      </c>
      <c r="H12" s="35"/>
      <c r="I12" s="105"/>
      <c r="J12" s="35">
        <v>124</v>
      </c>
      <c r="L12" s="35">
        <v>14846</v>
      </c>
      <c r="N12" s="35">
        <v>15980</v>
      </c>
      <c r="P12" s="408"/>
    </row>
    <row r="13" spans="1:16" ht="11.25" customHeight="1">
      <c r="A13" s="98" t="s">
        <v>308</v>
      </c>
      <c r="C13" s="35">
        <v>2481</v>
      </c>
      <c r="E13" s="35">
        <v>145813</v>
      </c>
      <c r="G13" s="35">
        <v>183462</v>
      </c>
      <c r="H13" s="95"/>
      <c r="I13" s="105"/>
      <c r="J13" s="35">
        <v>2092</v>
      </c>
      <c r="L13" s="35">
        <v>154569</v>
      </c>
      <c r="N13" s="35">
        <v>185747</v>
      </c>
      <c r="P13" s="408"/>
    </row>
    <row r="14" spans="1:16" ht="11.25" customHeight="1">
      <c r="A14" s="378" t="s">
        <v>537</v>
      </c>
      <c r="C14" s="35">
        <v>9</v>
      </c>
      <c r="E14" s="35">
        <v>793</v>
      </c>
      <c r="G14" s="35">
        <v>891</v>
      </c>
      <c r="H14" s="95"/>
      <c r="I14" s="105"/>
      <c r="J14" s="35">
        <v>152</v>
      </c>
      <c r="L14" s="35">
        <v>12198</v>
      </c>
      <c r="N14" s="35">
        <v>18610</v>
      </c>
      <c r="P14" s="408"/>
    </row>
    <row r="15" spans="1:16" ht="11.25" customHeight="1">
      <c r="A15" s="98" t="s">
        <v>309</v>
      </c>
      <c r="B15" s="22"/>
      <c r="C15" s="35">
        <v>906</v>
      </c>
      <c r="E15" s="35">
        <v>50221</v>
      </c>
      <c r="G15" s="35">
        <v>77857</v>
      </c>
      <c r="H15" s="35"/>
      <c r="I15" s="105"/>
      <c r="J15" s="35">
        <v>774</v>
      </c>
      <c r="L15" s="35">
        <v>47667</v>
      </c>
      <c r="N15" s="35">
        <v>66686</v>
      </c>
      <c r="P15" s="408"/>
    </row>
    <row r="16" spans="1:16" ht="11.25" customHeight="1">
      <c r="A16" s="98" t="s">
        <v>528</v>
      </c>
      <c r="B16" s="22"/>
      <c r="C16" s="35">
        <v>2210</v>
      </c>
      <c r="E16" s="35">
        <v>167185</v>
      </c>
      <c r="G16" s="35">
        <v>221159</v>
      </c>
      <c r="H16" s="35"/>
      <c r="I16" s="105"/>
      <c r="J16" s="35">
        <v>1619</v>
      </c>
      <c r="L16" s="35">
        <v>138539</v>
      </c>
      <c r="N16" s="35">
        <v>177918</v>
      </c>
      <c r="P16" s="408"/>
    </row>
    <row r="17" spans="1:16" ht="11.25" customHeight="1">
      <c r="A17" s="378" t="s">
        <v>535</v>
      </c>
      <c r="B17" s="22"/>
      <c r="C17" s="35">
        <v>50</v>
      </c>
      <c r="E17" s="35">
        <v>2500</v>
      </c>
      <c r="G17" s="35">
        <v>2500</v>
      </c>
      <c r="H17" s="35"/>
      <c r="I17" s="105"/>
      <c r="J17" s="35">
        <v>126</v>
      </c>
      <c r="L17" s="35">
        <v>7168</v>
      </c>
      <c r="N17" s="35">
        <v>9819</v>
      </c>
      <c r="P17" s="408"/>
    </row>
    <row r="18" spans="1:16" ht="11.25" customHeight="1">
      <c r="A18" s="378" t="s">
        <v>503</v>
      </c>
      <c r="B18" s="22"/>
      <c r="C18" s="35">
        <v>44</v>
      </c>
      <c r="E18" s="35">
        <v>1884</v>
      </c>
      <c r="G18" s="35">
        <v>5904</v>
      </c>
      <c r="H18" s="35"/>
      <c r="I18" s="105"/>
      <c r="J18" s="35">
        <v>246</v>
      </c>
      <c r="L18" s="35">
        <v>13030</v>
      </c>
      <c r="N18" s="35">
        <v>24957</v>
      </c>
      <c r="P18" s="408"/>
    </row>
    <row r="19" spans="1:16" ht="11.25" customHeight="1">
      <c r="A19" s="98" t="s">
        <v>312</v>
      </c>
      <c r="C19" s="35">
        <v>170</v>
      </c>
      <c r="E19" s="35">
        <v>9608</v>
      </c>
      <c r="G19" s="35">
        <v>12362</v>
      </c>
      <c r="H19" s="35"/>
      <c r="I19" s="105"/>
      <c r="J19" s="35">
        <v>284</v>
      </c>
      <c r="L19" s="35">
        <v>18004</v>
      </c>
      <c r="N19" s="35">
        <v>22051</v>
      </c>
      <c r="P19" s="408"/>
    </row>
    <row r="20" spans="1:16" ht="11.25" customHeight="1">
      <c r="A20" s="98" t="s">
        <v>310</v>
      </c>
      <c r="B20" s="22"/>
      <c r="C20" s="35">
        <v>467</v>
      </c>
      <c r="E20" s="35">
        <v>27056</v>
      </c>
      <c r="G20" s="35">
        <v>40267</v>
      </c>
      <c r="H20" s="35"/>
      <c r="I20" s="105"/>
      <c r="J20" s="35">
        <v>348</v>
      </c>
      <c r="L20" s="35">
        <v>21903</v>
      </c>
      <c r="N20" s="35">
        <v>34231</v>
      </c>
      <c r="P20" s="408"/>
    </row>
    <row r="21" spans="1:16" ht="11.25" customHeight="1">
      <c r="A21" s="282" t="s">
        <v>297</v>
      </c>
      <c r="B21" s="22"/>
      <c r="C21" s="35">
        <v>355</v>
      </c>
      <c r="E21" s="35">
        <v>19845</v>
      </c>
      <c r="G21" s="35">
        <v>45128</v>
      </c>
      <c r="H21" s="35"/>
      <c r="I21" s="105"/>
      <c r="J21" s="35">
        <v>35</v>
      </c>
      <c r="L21" s="35">
        <v>1719</v>
      </c>
      <c r="N21" s="35">
        <v>3434</v>
      </c>
      <c r="P21" s="408"/>
    </row>
    <row r="22" spans="1:16" ht="11.25" customHeight="1">
      <c r="A22" s="378" t="s">
        <v>465</v>
      </c>
      <c r="B22" s="22"/>
      <c r="C22" s="35">
        <v>39</v>
      </c>
      <c r="E22" s="35">
        <v>6976</v>
      </c>
      <c r="G22" s="35">
        <v>9386</v>
      </c>
      <c r="H22" s="35"/>
      <c r="I22" s="105"/>
      <c r="J22" s="35">
        <v>47</v>
      </c>
      <c r="L22" s="35">
        <v>5972</v>
      </c>
      <c r="N22" s="35">
        <v>8057</v>
      </c>
      <c r="P22" s="408"/>
    </row>
    <row r="23" spans="1:16" ht="11.25" customHeight="1">
      <c r="A23" s="98" t="s">
        <v>320</v>
      </c>
      <c r="C23" s="35">
        <v>8091</v>
      </c>
      <c r="E23" s="35">
        <v>533492</v>
      </c>
      <c r="G23" s="35">
        <v>711146</v>
      </c>
      <c r="H23" s="35"/>
      <c r="I23" s="413"/>
      <c r="J23" s="35">
        <v>6037</v>
      </c>
      <c r="L23" s="35">
        <v>419777</v>
      </c>
      <c r="N23" s="35">
        <v>560045</v>
      </c>
    </row>
    <row r="24" spans="1:16" ht="11.25" customHeight="1">
      <c r="A24" s="282" t="s">
        <v>507</v>
      </c>
      <c r="C24" s="35">
        <v>561</v>
      </c>
      <c r="E24" s="35">
        <v>63460</v>
      </c>
      <c r="G24" s="35">
        <v>63807</v>
      </c>
      <c r="H24" s="35"/>
      <c r="I24" s="105"/>
      <c r="J24" s="35">
        <v>1116</v>
      </c>
      <c r="L24" s="35">
        <v>103335</v>
      </c>
      <c r="N24" s="35">
        <v>108512</v>
      </c>
      <c r="P24" s="408"/>
    </row>
    <row r="25" spans="1:16" ht="11.25" customHeight="1">
      <c r="A25" s="98" t="s">
        <v>466</v>
      </c>
      <c r="C25" s="35">
        <v>2476</v>
      </c>
      <c r="E25" s="35">
        <v>197059</v>
      </c>
      <c r="F25" s="95" t="s">
        <v>542</v>
      </c>
      <c r="G25" s="35">
        <v>292911</v>
      </c>
      <c r="H25" s="95" t="s">
        <v>542</v>
      </c>
      <c r="I25" s="105"/>
      <c r="J25" s="35">
        <v>3918</v>
      </c>
      <c r="L25" s="35">
        <v>230154</v>
      </c>
      <c r="N25" s="35">
        <v>355862</v>
      </c>
      <c r="P25" s="408"/>
    </row>
    <row r="26" spans="1:16" ht="11.25" customHeight="1">
      <c r="A26" s="99" t="s">
        <v>737</v>
      </c>
      <c r="B26" s="22"/>
      <c r="C26" s="35">
        <v>38</v>
      </c>
      <c r="D26" s="95" t="s">
        <v>542</v>
      </c>
      <c r="E26" s="35">
        <v>2047</v>
      </c>
      <c r="F26" s="95" t="s">
        <v>542</v>
      </c>
      <c r="G26" s="35">
        <v>2092</v>
      </c>
      <c r="H26" s="95" t="s">
        <v>542</v>
      </c>
      <c r="I26" s="105"/>
      <c r="J26" s="35">
        <v>76</v>
      </c>
      <c r="L26" s="35">
        <v>8371</v>
      </c>
      <c r="N26" s="35">
        <v>8509</v>
      </c>
      <c r="P26" s="408"/>
    </row>
    <row r="27" spans="1:16" ht="11.25" customHeight="1">
      <c r="A27" s="100" t="s">
        <v>546</v>
      </c>
      <c r="B27" s="22"/>
      <c r="C27" s="77">
        <v>22508</v>
      </c>
      <c r="D27" s="79"/>
      <c r="E27" s="77">
        <v>1703614</v>
      </c>
      <c r="F27" s="79" t="s">
        <v>542</v>
      </c>
      <c r="G27" s="77">
        <v>2163852</v>
      </c>
      <c r="H27" s="525" t="s">
        <v>542</v>
      </c>
      <c r="I27" s="414"/>
      <c r="J27" s="77">
        <v>21893</v>
      </c>
      <c r="K27" s="79"/>
      <c r="L27" s="77">
        <v>1715558</v>
      </c>
      <c r="M27" s="79"/>
      <c r="N27" s="77">
        <v>2149034</v>
      </c>
    </row>
    <row r="28" spans="1:16" ht="11.25" customHeight="1">
      <c r="A28" s="101" t="s">
        <v>300</v>
      </c>
      <c r="B28" s="22"/>
      <c r="C28" s="64"/>
      <c r="D28" s="64"/>
      <c r="E28" s="64"/>
      <c r="F28" s="64"/>
      <c r="G28" s="64"/>
      <c r="H28" s="64"/>
      <c r="I28" s="64"/>
      <c r="J28" s="64"/>
      <c r="K28" s="64"/>
      <c r="L28" s="64"/>
      <c r="M28" s="64"/>
      <c r="N28" s="64"/>
    </row>
    <row r="29" spans="1:16" ht="11.25" customHeight="1">
      <c r="A29" s="102" t="s">
        <v>467</v>
      </c>
      <c r="B29" s="22"/>
      <c r="C29" s="64">
        <v>343</v>
      </c>
      <c r="E29" s="35">
        <v>31508</v>
      </c>
      <c r="G29" s="35">
        <v>38214</v>
      </c>
      <c r="H29" s="35"/>
      <c r="I29" s="64"/>
      <c r="J29" s="64">
        <v>340</v>
      </c>
      <c r="L29" s="35">
        <v>25291</v>
      </c>
      <c r="N29" s="35">
        <v>33155</v>
      </c>
    </row>
    <row r="30" spans="1:16" ht="11.25" customHeight="1">
      <c r="A30" s="385" t="s">
        <v>291</v>
      </c>
      <c r="B30" s="22"/>
      <c r="C30" s="64">
        <v>1</v>
      </c>
      <c r="E30" s="35">
        <v>55</v>
      </c>
      <c r="G30" s="35">
        <v>55</v>
      </c>
      <c r="H30" s="35"/>
      <c r="I30" s="64"/>
      <c r="J30" s="267" t="s">
        <v>25</v>
      </c>
      <c r="L30" s="267" t="s">
        <v>25</v>
      </c>
      <c r="N30" s="35" t="s">
        <v>25</v>
      </c>
    </row>
    <row r="31" spans="1:16" ht="11.25" customHeight="1">
      <c r="A31" s="283" t="s">
        <v>294</v>
      </c>
      <c r="B31" s="22"/>
      <c r="C31" s="267" t="s">
        <v>25</v>
      </c>
      <c r="E31" s="267" t="s">
        <v>25</v>
      </c>
      <c r="G31" s="35" t="s">
        <v>25</v>
      </c>
      <c r="H31" s="35"/>
      <c r="I31" s="64"/>
      <c r="J31" s="35">
        <v>5</v>
      </c>
      <c r="L31" s="35">
        <v>536</v>
      </c>
      <c r="N31" s="35">
        <v>750</v>
      </c>
    </row>
    <row r="32" spans="1:16" ht="11.25" customHeight="1">
      <c r="A32" s="102" t="s">
        <v>320</v>
      </c>
      <c r="B32" s="22"/>
      <c r="C32" s="267" t="s">
        <v>25</v>
      </c>
      <c r="E32" s="267" t="s">
        <v>25</v>
      </c>
      <c r="G32" s="35" t="s">
        <v>25</v>
      </c>
      <c r="H32" s="35"/>
      <c r="I32" s="105"/>
      <c r="J32" s="35">
        <v>8</v>
      </c>
      <c r="L32" s="35">
        <v>553</v>
      </c>
      <c r="N32" s="35">
        <v>936</v>
      </c>
    </row>
    <row r="33" spans="1:14" ht="11.25" customHeight="1">
      <c r="A33" s="103" t="s">
        <v>547</v>
      </c>
      <c r="B33" s="22"/>
      <c r="C33" s="513">
        <v>344</v>
      </c>
      <c r="D33" s="529"/>
      <c r="E33" s="513">
        <v>31563</v>
      </c>
      <c r="F33" s="530"/>
      <c r="G33" s="513">
        <v>38269</v>
      </c>
      <c r="H33" s="513"/>
      <c r="I33" s="530"/>
      <c r="J33" s="513">
        <v>353</v>
      </c>
      <c r="K33" s="529"/>
      <c r="L33" s="513">
        <v>26381</v>
      </c>
      <c r="M33" s="530"/>
      <c r="N33" s="513">
        <v>34841</v>
      </c>
    </row>
    <row r="34" spans="1:14" ht="11.25" customHeight="1">
      <c r="A34" s="104" t="s">
        <v>548</v>
      </c>
      <c r="B34" s="81"/>
      <c r="C34" s="85">
        <v>22852</v>
      </c>
      <c r="D34" s="43"/>
      <c r="E34" s="85">
        <v>1735178</v>
      </c>
      <c r="F34" s="43" t="s">
        <v>542</v>
      </c>
      <c r="G34" s="85">
        <v>2202122</v>
      </c>
      <c r="H34" s="43" t="s">
        <v>542</v>
      </c>
      <c r="I34" s="413"/>
      <c r="J34" s="85">
        <v>22247</v>
      </c>
      <c r="K34" s="43"/>
      <c r="L34" s="85">
        <v>1741939</v>
      </c>
      <c r="M34" s="43"/>
      <c r="N34" s="85">
        <v>2183874</v>
      </c>
    </row>
    <row r="35" spans="1:14" ht="11.25" customHeight="1">
      <c r="A35" s="782" t="s">
        <v>381</v>
      </c>
      <c r="B35" s="782"/>
      <c r="C35" s="782"/>
      <c r="D35" s="782"/>
      <c r="E35" s="782"/>
      <c r="F35" s="782"/>
      <c r="G35" s="782"/>
      <c r="H35" s="828"/>
      <c r="I35" s="782"/>
      <c r="J35" s="782"/>
      <c r="K35" s="782"/>
      <c r="L35" s="782"/>
      <c r="M35" s="782"/>
      <c r="N35" s="782"/>
    </row>
    <row r="36" spans="1:14" ht="11.25" customHeight="1">
      <c r="A36" s="829" t="s">
        <v>738</v>
      </c>
      <c r="B36" s="694"/>
      <c r="C36" s="694"/>
      <c r="D36" s="694"/>
      <c r="E36" s="694"/>
      <c r="F36" s="694"/>
      <c r="G36" s="694"/>
      <c r="H36" s="694"/>
      <c r="I36" s="694"/>
      <c r="J36" s="694"/>
      <c r="K36" s="694"/>
      <c r="L36" s="694"/>
      <c r="M36" s="694"/>
      <c r="N36" s="694"/>
    </row>
    <row r="37" spans="1:14" ht="22.5" customHeight="1">
      <c r="A37" s="830" t="s">
        <v>387</v>
      </c>
      <c r="B37" s="696"/>
      <c r="C37" s="696"/>
      <c r="D37" s="696"/>
      <c r="E37" s="696"/>
      <c r="F37" s="696"/>
      <c r="G37" s="696"/>
      <c r="H37" s="696"/>
      <c r="I37" s="696"/>
      <c r="J37" s="696"/>
      <c r="K37" s="696"/>
      <c r="L37" s="696"/>
      <c r="M37" s="696"/>
      <c r="N37" s="696"/>
    </row>
    <row r="38" spans="1:14" ht="22.5" customHeight="1">
      <c r="A38" s="830" t="s">
        <v>813</v>
      </c>
      <c r="B38" s="696"/>
      <c r="C38" s="696"/>
      <c r="D38" s="696"/>
      <c r="E38" s="696"/>
      <c r="F38" s="696"/>
      <c r="G38" s="696"/>
      <c r="H38" s="696"/>
      <c r="I38" s="696"/>
      <c r="J38" s="696"/>
      <c r="K38" s="696"/>
      <c r="L38" s="696"/>
      <c r="M38" s="696"/>
      <c r="N38" s="696"/>
    </row>
    <row r="39" spans="1:14" ht="11.25" customHeight="1">
      <c r="A39" s="813" t="s">
        <v>544</v>
      </c>
      <c r="B39" s="694"/>
      <c r="C39" s="694"/>
      <c r="D39" s="694"/>
      <c r="E39" s="694"/>
      <c r="F39" s="694"/>
      <c r="G39" s="694"/>
      <c r="H39" s="694"/>
      <c r="I39" s="694"/>
      <c r="J39" s="694"/>
      <c r="K39" s="694"/>
      <c r="L39" s="694"/>
      <c r="M39" s="694"/>
      <c r="N39" s="694"/>
    </row>
    <row r="40" spans="1:14" ht="22.5" customHeight="1">
      <c r="A40" s="822" t="s">
        <v>545</v>
      </c>
      <c r="B40" s="696"/>
      <c r="C40" s="696"/>
      <c r="D40" s="696"/>
      <c r="E40" s="696"/>
      <c r="F40" s="696"/>
      <c r="G40" s="696"/>
      <c r="H40" s="696"/>
      <c r="I40" s="696"/>
      <c r="J40" s="696"/>
      <c r="K40" s="696"/>
      <c r="L40" s="696"/>
      <c r="M40" s="696"/>
      <c r="N40" s="696"/>
    </row>
    <row r="41" spans="1:14" ht="11.25" customHeight="1">
      <c r="A41" s="813" t="s">
        <v>433</v>
      </c>
      <c r="B41" s="694"/>
      <c r="C41" s="694"/>
      <c r="D41" s="694"/>
      <c r="E41" s="694"/>
      <c r="F41" s="694"/>
      <c r="G41" s="694"/>
      <c r="H41" s="694"/>
      <c r="I41" s="694"/>
      <c r="J41" s="694"/>
      <c r="K41" s="694"/>
      <c r="L41" s="694"/>
      <c r="M41" s="694"/>
      <c r="N41" s="694"/>
    </row>
    <row r="42" spans="1:14" ht="11.25" customHeight="1">
      <c r="A42" s="813" t="s">
        <v>128</v>
      </c>
      <c r="B42" s="694"/>
      <c r="C42" s="694"/>
      <c r="D42" s="694"/>
      <c r="E42" s="694"/>
      <c r="F42" s="694"/>
      <c r="G42" s="694"/>
      <c r="H42" s="694"/>
      <c r="I42" s="694"/>
      <c r="J42" s="694"/>
      <c r="K42" s="694"/>
      <c r="L42" s="694"/>
      <c r="M42" s="694"/>
      <c r="N42" s="694"/>
    </row>
    <row r="43" spans="1:14" ht="11.25" customHeight="1">
      <c r="A43" s="813" t="s">
        <v>301</v>
      </c>
      <c r="B43" s="694"/>
      <c r="C43" s="694"/>
      <c r="D43" s="694"/>
      <c r="E43" s="694"/>
      <c r="F43" s="694"/>
      <c r="G43" s="694"/>
      <c r="H43" s="694"/>
      <c r="I43" s="694"/>
      <c r="J43" s="694"/>
      <c r="K43" s="694"/>
      <c r="L43" s="694"/>
      <c r="M43" s="694"/>
      <c r="N43" s="694"/>
    </row>
    <row r="44" spans="1:14" ht="11.25" customHeight="1">
      <c r="C44" s="64"/>
      <c r="E44" s="64"/>
      <c r="F44" s="64"/>
      <c r="G44" s="64"/>
      <c r="H44" s="64"/>
      <c r="I44" s="64"/>
      <c r="J44" s="64"/>
      <c r="K44" s="64"/>
      <c r="L44" s="64"/>
      <c r="M44" s="64"/>
      <c r="N44" s="64"/>
    </row>
    <row r="46" spans="1:14" ht="11.25" customHeight="1">
      <c r="C46" s="28"/>
      <c r="E46" s="28"/>
      <c r="F46" s="28"/>
      <c r="G46" s="28"/>
      <c r="H46" s="28"/>
      <c r="I46" s="28"/>
      <c r="J46" s="28"/>
      <c r="K46" s="28"/>
      <c r="L46" s="28"/>
      <c r="M46" s="28"/>
      <c r="N46" s="28"/>
    </row>
    <row r="47" spans="1:14" ht="11.25" customHeight="1">
      <c r="J47" s="267"/>
    </row>
  </sheetData>
  <sortState xmlns:xlrd2="http://schemas.microsoft.com/office/spreadsheetml/2017/richdata2" ref="P9:P25">
    <sortCondition ref="P9:P25"/>
  </sortState>
  <mergeCells count="22">
    <mergeCell ref="A2:N2"/>
    <mergeCell ref="A1:N1"/>
    <mergeCell ref="A40:N40"/>
    <mergeCell ref="A41:N41"/>
    <mergeCell ref="A42:N42"/>
    <mergeCell ref="E7:G7"/>
    <mergeCell ref="J6:N6"/>
    <mergeCell ref="L7:N7"/>
    <mergeCell ref="L8:M8"/>
    <mergeCell ref="J8:K8"/>
    <mergeCell ref="A35:N35"/>
    <mergeCell ref="A36:N36"/>
    <mergeCell ref="A4:N4"/>
    <mergeCell ref="A37:N37"/>
    <mergeCell ref="A38:N38"/>
    <mergeCell ref="A3:N3"/>
    <mergeCell ref="A43:N43"/>
    <mergeCell ref="A39:N39"/>
    <mergeCell ref="A5:N5"/>
    <mergeCell ref="C8:D8"/>
    <mergeCell ref="E8:F8"/>
    <mergeCell ref="C6:H6"/>
  </mergeCells>
  <pageMargins left="0.5" right="0.5" top="0.75" bottom="0.5" header="0.3" footer="0.3"/>
  <pageSetup orientation="portrait" cellComments="asDisplayed"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9F10-5DC6-403A-A17F-22BE273989CA}">
  <dimension ref="A1:M37"/>
  <sheetViews>
    <sheetView zoomScaleNormal="100" workbookViewId="0">
      <selection activeCell="E37" sqref="E37"/>
    </sheetView>
  </sheetViews>
  <sheetFormatPr defaultColWidth="9.26953125" defaultRowHeight="11.25" customHeight="1"/>
  <cols>
    <col min="1" max="1" width="28" style="106" bestFit="1" customWidth="1"/>
    <col min="2" max="2" width="1.7265625" style="106" customWidth="1"/>
    <col min="3" max="3" width="6.7265625" style="106" customWidth="1"/>
    <col min="4" max="4" width="1.7265625" style="106" customWidth="1"/>
    <col min="5" max="5" width="6.7265625" style="106" customWidth="1"/>
    <col min="6" max="6" width="1.7265625" style="106" customWidth="1"/>
    <col min="7" max="7" width="6.7265625" style="106" customWidth="1"/>
    <col min="8" max="8" width="1.7265625" style="106" customWidth="1"/>
    <col min="9" max="9" width="6.7265625" style="106" customWidth="1"/>
    <col min="10" max="10" width="1.7265625" style="106" customWidth="1"/>
    <col min="11" max="11" width="6.7265625" style="106" customWidth="1"/>
    <col min="12" max="12" width="1.7265625" style="106" customWidth="1"/>
    <col min="13" max="13" width="6.7265625" style="106" customWidth="1"/>
    <col min="14" max="16384" width="9.26953125" style="106"/>
  </cols>
  <sheetData>
    <row r="1" spans="1:13" ht="11.25" customHeight="1">
      <c r="A1" s="833" t="s">
        <v>346</v>
      </c>
      <c r="B1" s="833"/>
      <c r="C1" s="833"/>
      <c r="D1" s="833"/>
      <c r="E1" s="833"/>
      <c r="F1" s="833"/>
      <c r="G1" s="833"/>
      <c r="H1" s="833"/>
      <c r="I1" s="833"/>
      <c r="J1" s="833"/>
      <c r="K1" s="833"/>
      <c r="L1" s="833"/>
      <c r="M1" s="833"/>
    </row>
    <row r="2" spans="1:13" ht="11.25" customHeight="1">
      <c r="A2" s="833" t="s">
        <v>388</v>
      </c>
      <c r="B2" s="833"/>
      <c r="C2" s="833"/>
      <c r="D2" s="833"/>
      <c r="E2" s="833"/>
      <c r="F2" s="833"/>
      <c r="G2" s="833"/>
      <c r="H2" s="833"/>
      <c r="I2" s="833"/>
      <c r="J2" s="833"/>
      <c r="K2" s="833"/>
      <c r="L2" s="833"/>
      <c r="M2" s="833"/>
    </row>
    <row r="3" spans="1:13" ht="11.25" customHeight="1">
      <c r="A3" s="833"/>
      <c r="B3" s="834"/>
      <c r="C3" s="834"/>
      <c r="D3" s="834"/>
      <c r="E3" s="834"/>
      <c r="F3" s="834"/>
      <c r="G3" s="834"/>
      <c r="H3" s="834"/>
      <c r="I3" s="834"/>
      <c r="J3" s="834"/>
      <c r="K3" s="834"/>
      <c r="L3" s="834"/>
      <c r="M3" s="834"/>
    </row>
    <row r="4" spans="1:13" ht="11.25" customHeight="1">
      <c r="A4" s="833" t="s">
        <v>281</v>
      </c>
      <c r="B4" s="833"/>
      <c r="C4" s="833"/>
      <c r="D4" s="833"/>
      <c r="E4" s="833"/>
      <c r="F4" s="833"/>
      <c r="G4" s="833"/>
      <c r="H4" s="833"/>
      <c r="I4" s="833"/>
      <c r="J4" s="833"/>
      <c r="K4" s="833"/>
      <c r="L4" s="833"/>
      <c r="M4" s="833"/>
    </row>
    <row r="5" spans="1:13" ht="11.25" customHeight="1">
      <c r="A5" s="835"/>
      <c r="B5" s="836"/>
      <c r="C5" s="836"/>
      <c r="D5" s="836"/>
      <c r="E5" s="836"/>
      <c r="F5" s="836"/>
      <c r="G5" s="836"/>
      <c r="H5" s="837"/>
      <c r="I5" s="836"/>
      <c r="J5" s="836"/>
      <c r="K5" s="836"/>
      <c r="L5" s="836"/>
      <c r="M5" s="836"/>
    </row>
    <row r="6" spans="1:13" ht="11.25" customHeight="1">
      <c r="A6" s="107"/>
      <c r="B6" s="107"/>
      <c r="C6" s="808" t="s">
        <v>533</v>
      </c>
      <c r="D6" s="808"/>
      <c r="E6" s="808"/>
      <c r="F6" s="808"/>
      <c r="G6" s="808"/>
      <c r="H6" s="258"/>
      <c r="I6" s="806" t="s">
        <v>724</v>
      </c>
      <c r="J6" s="806"/>
      <c r="K6" s="806"/>
      <c r="L6" s="806"/>
      <c r="M6" s="806"/>
    </row>
    <row r="7" spans="1:13" ht="11.25" customHeight="1">
      <c r="A7" s="70"/>
      <c r="B7" s="70"/>
      <c r="C7" s="142"/>
      <c r="D7" s="142"/>
      <c r="E7" s="804" t="s">
        <v>303</v>
      </c>
      <c r="F7" s="804"/>
      <c r="G7" s="804"/>
      <c r="H7" s="142"/>
      <c r="I7" s="142"/>
      <c r="J7" s="142"/>
      <c r="K7" s="831" t="s">
        <v>303</v>
      </c>
      <c r="L7" s="831"/>
      <c r="M7" s="831"/>
    </row>
    <row r="8" spans="1:13" ht="11.25" customHeight="1">
      <c r="A8" s="97" t="s">
        <v>386</v>
      </c>
      <c r="B8" s="145"/>
      <c r="C8" s="97" t="s">
        <v>62</v>
      </c>
      <c r="D8" s="97"/>
      <c r="E8" s="97" t="s">
        <v>304</v>
      </c>
      <c r="F8" s="97"/>
      <c r="G8" s="97" t="s">
        <v>347</v>
      </c>
      <c r="H8" s="524"/>
      <c r="I8" s="97" t="s">
        <v>62</v>
      </c>
      <c r="J8" s="97"/>
      <c r="K8" s="97" t="s">
        <v>304</v>
      </c>
      <c r="L8" s="97"/>
      <c r="M8" s="97" t="s">
        <v>347</v>
      </c>
    </row>
    <row r="9" spans="1:13" ht="11.25" customHeight="1">
      <c r="A9" s="80" t="s">
        <v>486</v>
      </c>
      <c r="B9" s="70"/>
      <c r="C9" s="267" t="s">
        <v>25</v>
      </c>
      <c r="D9" s="35"/>
      <c r="E9" s="35" t="s">
        <v>25</v>
      </c>
      <c r="F9" s="35"/>
      <c r="G9" s="267" t="s">
        <v>25</v>
      </c>
      <c r="H9" s="142"/>
      <c r="I9" s="35">
        <v>49</v>
      </c>
      <c r="K9" s="35">
        <v>6436</v>
      </c>
      <c r="L9" s="142"/>
      <c r="M9" s="35">
        <v>6833</v>
      </c>
    </row>
    <row r="10" spans="1:13" ht="11.25" customHeight="1">
      <c r="A10" s="80" t="s">
        <v>345</v>
      </c>
      <c r="B10" s="22"/>
      <c r="C10" s="35">
        <v>300</v>
      </c>
      <c r="E10" s="35">
        <v>39032</v>
      </c>
      <c r="G10" s="35">
        <v>39935</v>
      </c>
      <c r="H10" s="35"/>
      <c r="I10" s="35">
        <v>314</v>
      </c>
      <c r="K10" s="35">
        <v>52586</v>
      </c>
      <c r="M10" s="35">
        <v>53769</v>
      </c>
    </row>
    <row r="11" spans="1:13" ht="11.25" customHeight="1">
      <c r="A11" s="76" t="s">
        <v>307</v>
      </c>
      <c r="B11" s="22"/>
      <c r="C11" s="35">
        <v>163</v>
      </c>
      <c r="E11" s="35">
        <v>18381</v>
      </c>
      <c r="G11" s="35">
        <v>19300</v>
      </c>
      <c r="H11" s="413"/>
      <c r="I11" s="35">
        <v>215</v>
      </c>
      <c r="K11" s="35">
        <v>24459</v>
      </c>
      <c r="M11" s="35">
        <v>25499</v>
      </c>
    </row>
    <row r="12" spans="1:13" ht="11.25" customHeight="1">
      <c r="A12" s="604" t="s">
        <v>317</v>
      </c>
      <c r="B12" s="22"/>
      <c r="C12" s="267" t="s">
        <v>25</v>
      </c>
      <c r="D12" s="35"/>
      <c r="E12" s="35" t="s">
        <v>25</v>
      </c>
      <c r="F12" s="35"/>
      <c r="G12" s="267" t="s">
        <v>25</v>
      </c>
      <c r="H12" s="413"/>
      <c r="I12" s="35">
        <v>33</v>
      </c>
      <c r="K12" s="35">
        <v>2089</v>
      </c>
      <c r="M12" s="35">
        <v>2089</v>
      </c>
    </row>
    <row r="13" spans="1:13" ht="11.25" customHeight="1">
      <c r="A13" s="76" t="s">
        <v>311</v>
      </c>
      <c r="B13" s="22"/>
      <c r="C13" s="35">
        <v>238</v>
      </c>
      <c r="E13" s="35">
        <v>41556</v>
      </c>
      <c r="G13" s="35">
        <v>44314</v>
      </c>
      <c r="H13" s="413"/>
      <c r="I13" s="35">
        <v>210</v>
      </c>
      <c r="K13" s="35">
        <v>38519</v>
      </c>
      <c r="M13" s="35">
        <v>41421</v>
      </c>
    </row>
    <row r="14" spans="1:13" ht="11.25" customHeight="1">
      <c r="A14" s="76" t="s">
        <v>319</v>
      </c>
      <c r="C14" s="35">
        <v>20</v>
      </c>
      <c r="E14" s="35">
        <v>1389</v>
      </c>
      <c r="G14" s="35">
        <v>2880</v>
      </c>
      <c r="H14" s="64"/>
      <c r="I14" s="61" t="s">
        <v>543</v>
      </c>
      <c r="K14" s="35">
        <v>3</v>
      </c>
      <c r="M14" s="35">
        <v>4</v>
      </c>
    </row>
    <row r="15" spans="1:13" ht="11.25" customHeight="1">
      <c r="A15" s="76" t="s">
        <v>297</v>
      </c>
      <c r="B15" s="22"/>
      <c r="C15" s="35">
        <v>1</v>
      </c>
      <c r="E15" s="35">
        <v>168</v>
      </c>
      <c r="G15" s="35">
        <v>284</v>
      </c>
      <c r="H15" s="35"/>
      <c r="I15" s="35">
        <v>6</v>
      </c>
      <c r="K15" s="35">
        <v>983</v>
      </c>
      <c r="M15" s="35">
        <v>1432</v>
      </c>
    </row>
    <row r="16" spans="1:13" ht="11.25" customHeight="1">
      <c r="A16" s="76" t="s">
        <v>320</v>
      </c>
      <c r="B16" s="22"/>
      <c r="C16" s="35">
        <v>1128</v>
      </c>
      <c r="E16" s="35">
        <v>99396</v>
      </c>
      <c r="G16" s="35">
        <v>110475</v>
      </c>
      <c r="H16" s="413"/>
      <c r="I16" s="35">
        <v>1643</v>
      </c>
      <c r="K16" s="35">
        <v>140918</v>
      </c>
      <c r="M16" s="35">
        <v>147509</v>
      </c>
    </row>
    <row r="17" spans="1:13" ht="11.25" customHeight="1">
      <c r="A17" s="99" t="s">
        <v>487</v>
      </c>
      <c r="B17" s="22"/>
      <c r="C17" s="61" t="s">
        <v>543</v>
      </c>
      <c r="E17" s="44">
        <v>37</v>
      </c>
      <c r="G17" s="35">
        <v>43</v>
      </c>
      <c r="H17" s="95"/>
      <c r="I17" s="35">
        <v>1</v>
      </c>
      <c r="K17" s="35">
        <v>190</v>
      </c>
      <c r="M17" s="35">
        <v>290</v>
      </c>
    </row>
    <row r="18" spans="1:13" ht="11.25" customHeight="1">
      <c r="A18" s="108" t="s">
        <v>747</v>
      </c>
      <c r="B18" s="22"/>
      <c r="C18" s="77">
        <v>1850</v>
      </c>
      <c r="D18" s="65"/>
      <c r="E18" s="77">
        <v>199958</v>
      </c>
      <c r="F18" s="65"/>
      <c r="G18" s="77">
        <v>217231</v>
      </c>
      <c r="H18" s="527"/>
      <c r="I18" s="77">
        <v>2471</v>
      </c>
      <c r="J18" s="65"/>
      <c r="K18" s="77">
        <v>266182</v>
      </c>
      <c r="L18" s="65"/>
      <c r="M18" s="77">
        <v>278844</v>
      </c>
    </row>
    <row r="19" spans="1:13" ht="11.25" customHeight="1">
      <c r="A19" s="109" t="s">
        <v>300</v>
      </c>
      <c r="B19" s="22"/>
      <c r="C19" s="64"/>
      <c r="D19" s="64"/>
      <c r="E19" s="64"/>
      <c r="F19" s="64"/>
      <c r="G19" s="64"/>
      <c r="H19" s="64"/>
      <c r="I19" s="64"/>
      <c r="J19" s="64"/>
      <c r="K19" s="64"/>
      <c r="L19" s="64"/>
      <c r="M19" s="64"/>
    </row>
    <row r="20" spans="1:13" ht="11.25" customHeight="1">
      <c r="A20" s="380" t="s">
        <v>287</v>
      </c>
      <c r="B20" s="22"/>
      <c r="C20" s="61" t="s">
        <v>543</v>
      </c>
      <c r="E20" s="35">
        <v>28</v>
      </c>
      <c r="G20" s="35">
        <v>28</v>
      </c>
      <c r="H20" s="64"/>
      <c r="I20" s="267" t="s">
        <v>25</v>
      </c>
      <c r="J20" s="46"/>
      <c r="K20" s="35" t="s">
        <v>25</v>
      </c>
      <c r="L20" s="46"/>
      <c r="M20" s="267" t="s">
        <v>25</v>
      </c>
    </row>
    <row r="21" spans="1:13" ht="11.25" customHeight="1">
      <c r="A21" s="380" t="s">
        <v>307</v>
      </c>
      <c r="B21" s="22"/>
      <c r="C21" s="61" t="s">
        <v>543</v>
      </c>
      <c r="E21" s="35">
        <v>37</v>
      </c>
      <c r="G21" s="35">
        <v>85</v>
      </c>
      <c r="H21" s="64"/>
      <c r="I21" s="35">
        <v>1</v>
      </c>
      <c r="K21" s="35">
        <v>101</v>
      </c>
      <c r="M21" s="35">
        <v>146</v>
      </c>
    </row>
    <row r="22" spans="1:13" ht="11.25" customHeight="1">
      <c r="A22" s="281" t="s">
        <v>465</v>
      </c>
      <c r="B22" s="22"/>
      <c r="C22" s="35">
        <v>24</v>
      </c>
      <c r="E22" s="35">
        <v>3767</v>
      </c>
      <c r="G22" s="64">
        <v>5300</v>
      </c>
      <c r="H22" s="64"/>
      <c r="I22" s="35">
        <v>22</v>
      </c>
      <c r="K22" s="35">
        <v>2936</v>
      </c>
      <c r="M22" s="64">
        <v>4022</v>
      </c>
    </row>
    <row r="23" spans="1:13" ht="11.25" customHeight="1">
      <c r="A23" s="75" t="s">
        <v>320</v>
      </c>
      <c r="C23" s="267" t="s">
        <v>25</v>
      </c>
      <c r="D23" s="46"/>
      <c r="E23" s="35" t="s">
        <v>25</v>
      </c>
      <c r="F23" s="46"/>
      <c r="G23" s="267" t="s">
        <v>25</v>
      </c>
      <c r="H23" s="46"/>
      <c r="I23" s="61" t="s">
        <v>543</v>
      </c>
      <c r="J23" s="46"/>
      <c r="K23" s="35">
        <v>21</v>
      </c>
      <c r="L23" s="46"/>
      <c r="M23" s="35">
        <v>36</v>
      </c>
    </row>
    <row r="24" spans="1:13" ht="11.25" customHeight="1">
      <c r="A24" s="110" t="s">
        <v>747</v>
      </c>
      <c r="B24" s="22"/>
      <c r="C24" s="77">
        <v>25</v>
      </c>
      <c r="D24" s="77"/>
      <c r="E24" s="77">
        <v>3831</v>
      </c>
      <c r="F24" s="77"/>
      <c r="G24" s="65">
        <v>5413</v>
      </c>
      <c r="H24" s="513"/>
      <c r="I24" s="77">
        <v>23</v>
      </c>
      <c r="J24" s="77"/>
      <c r="K24" s="77">
        <v>3058</v>
      </c>
      <c r="L24" s="77"/>
      <c r="M24" s="65">
        <v>4204</v>
      </c>
    </row>
    <row r="25" spans="1:13" ht="11.25" customHeight="1">
      <c r="A25" s="108" t="s">
        <v>748</v>
      </c>
      <c r="B25" s="81"/>
      <c r="C25" s="85">
        <v>1874</v>
      </c>
      <c r="D25" s="85"/>
      <c r="E25" s="85">
        <v>203790</v>
      </c>
      <c r="F25" s="85"/>
      <c r="G25" s="85">
        <v>222645</v>
      </c>
      <c r="H25" s="415"/>
      <c r="I25" s="85">
        <v>2495</v>
      </c>
      <c r="J25" s="85"/>
      <c r="K25" s="85">
        <v>269241</v>
      </c>
      <c r="L25" s="85"/>
      <c r="M25" s="85">
        <v>283048</v>
      </c>
    </row>
    <row r="26" spans="1:13" s="137" customFormat="1" ht="11.25" customHeight="1">
      <c r="A26" s="832" t="s">
        <v>57</v>
      </c>
      <c r="B26" s="694"/>
      <c r="C26" s="694"/>
      <c r="D26" s="694"/>
      <c r="E26" s="694"/>
      <c r="F26" s="694"/>
      <c r="G26" s="694"/>
      <c r="H26" s="694"/>
      <c r="I26" s="694"/>
      <c r="J26" s="694"/>
      <c r="K26" s="694"/>
      <c r="L26" s="694"/>
      <c r="M26" s="694"/>
    </row>
    <row r="27" spans="1:13" s="137" customFormat="1" ht="22.5" customHeight="1">
      <c r="A27" s="830" t="s">
        <v>739</v>
      </c>
      <c r="B27" s="700"/>
      <c r="C27" s="700"/>
      <c r="D27" s="700"/>
      <c r="E27" s="700"/>
      <c r="F27" s="700"/>
      <c r="G27" s="700"/>
      <c r="H27" s="700"/>
      <c r="I27" s="700"/>
      <c r="J27" s="700"/>
      <c r="K27" s="700"/>
      <c r="L27" s="700"/>
      <c r="M27" s="700"/>
    </row>
    <row r="28" spans="1:13" s="137" customFormat="1" ht="22.5" customHeight="1">
      <c r="A28" s="830" t="s">
        <v>387</v>
      </c>
      <c r="B28" s="700"/>
      <c r="C28" s="700"/>
      <c r="D28" s="700"/>
      <c r="E28" s="700"/>
      <c r="F28" s="700"/>
      <c r="G28" s="700"/>
      <c r="H28" s="700"/>
      <c r="I28" s="700"/>
      <c r="J28" s="700"/>
      <c r="K28" s="700"/>
      <c r="L28" s="700"/>
      <c r="M28" s="700"/>
    </row>
    <row r="29" spans="1:13" s="137" customFormat="1" ht="22.5" customHeight="1">
      <c r="A29" s="830" t="s">
        <v>813</v>
      </c>
      <c r="B29" s="700"/>
      <c r="C29" s="700"/>
      <c r="D29" s="700"/>
      <c r="E29" s="700"/>
      <c r="F29" s="700"/>
      <c r="G29" s="700"/>
      <c r="H29" s="700"/>
      <c r="I29" s="700"/>
      <c r="J29" s="700"/>
      <c r="K29" s="700"/>
      <c r="L29" s="700"/>
      <c r="M29" s="700"/>
    </row>
    <row r="30" spans="1:13" s="137" customFormat="1" ht="33.75" customHeight="1">
      <c r="A30" s="830" t="s">
        <v>836</v>
      </c>
      <c r="B30" s="700"/>
      <c r="C30" s="700"/>
      <c r="D30" s="700"/>
      <c r="E30" s="700"/>
      <c r="F30" s="700"/>
      <c r="G30" s="700"/>
      <c r="H30" s="700"/>
      <c r="I30" s="700"/>
      <c r="J30" s="700"/>
      <c r="K30" s="700"/>
      <c r="L30" s="700"/>
      <c r="M30" s="700"/>
    </row>
    <row r="31" spans="1:13" s="137" customFormat="1" ht="11.25" customHeight="1">
      <c r="A31" s="829" t="s">
        <v>348</v>
      </c>
      <c r="B31" s="699"/>
      <c r="C31" s="699"/>
      <c r="D31" s="699"/>
      <c r="E31" s="699"/>
      <c r="F31" s="699"/>
      <c r="G31" s="699"/>
      <c r="H31" s="699"/>
      <c r="I31" s="699"/>
      <c r="J31" s="699"/>
      <c r="K31" s="699"/>
      <c r="L31" s="699"/>
      <c r="M31" s="699"/>
    </row>
    <row r="32" spans="1:13" s="137" customFormat="1" ht="11.25" customHeight="1">
      <c r="A32" s="813" t="s">
        <v>433</v>
      </c>
      <c r="B32" s="699"/>
      <c r="C32" s="699"/>
      <c r="D32" s="699"/>
      <c r="E32" s="699"/>
      <c r="F32" s="699"/>
      <c r="G32" s="699"/>
      <c r="H32" s="699"/>
      <c r="I32" s="699"/>
      <c r="J32" s="699"/>
      <c r="K32" s="699"/>
      <c r="L32" s="699"/>
      <c r="M32" s="699"/>
    </row>
    <row r="33" spans="1:13" s="137" customFormat="1" ht="11.25" customHeight="1">
      <c r="A33" s="829"/>
      <c r="B33" s="735"/>
      <c r="C33" s="735"/>
      <c r="D33" s="735"/>
      <c r="E33" s="735"/>
      <c r="F33" s="735"/>
      <c r="G33" s="735"/>
      <c r="H33" s="735"/>
      <c r="I33" s="735"/>
      <c r="J33" s="735"/>
      <c r="K33" s="735"/>
      <c r="L33" s="735"/>
      <c r="M33" s="735"/>
    </row>
    <row r="34" spans="1:13" s="137" customFormat="1" ht="11.25" customHeight="1">
      <c r="A34" s="813" t="s">
        <v>301</v>
      </c>
      <c r="B34" s="699"/>
      <c r="C34" s="699"/>
      <c r="D34" s="699"/>
      <c r="E34" s="699"/>
      <c r="F34" s="699"/>
      <c r="G34" s="699"/>
      <c r="H34" s="699"/>
      <c r="I34" s="699"/>
      <c r="J34" s="699"/>
      <c r="K34" s="699"/>
      <c r="L34" s="699"/>
      <c r="M34" s="699"/>
    </row>
    <row r="35" spans="1:13" ht="11.25" customHeight="1">
      <c r="C35" s="35"/>
      <c r="D35" s="35"/>
      <c r="E35" s="35"/>
      <c r="F35" s="35"/>
      <c r="G35" s="35"/>
      <c r="H35" s="35"/>
      <c r="I35" s="35"/>
      <c r="J35" s="35"/>
      <c r="K35" s="35"/>
      <c r="L35" s="35"/>
      <c r="M35" s="35"/>
    </row>
    <row r="37" spans="1:13" ht="11.25" customHeight="1">
      <c r="C37" s="35"/>
      <c r="E37" s="35"/>
      <c r="F37" s="35"/>
      <c r="G37" s="35"/>
      <c r="H37" s="35"/>
      <c r="I37" s="35"/>
      <c r="J37" s="35"/>
      <c r="K37" s="35"/>
      <c r="L37" s="35"/>
      <c r="M37" s="35"/>
    </row>
  </sheetData>
  <sortState xmlns:xlrd2="http://schemas.microsoft.com/office/spreadsheetml/2017/richdata2" ref="O10:O16">
    <sortCondition ref="O10:O16"/>
  </sortState>
  <mergeCells count="18">
    <mergeCell ref="I6:M6"/>
    <mergeCell ref="A1:M1"/>
    <mergeCell ref="A2:M2"/>
    <mergeCell ref="A3:M3"/>
    <mergeCell ref="A4:M4"/>
    <mergeCell ref="A5:M5"/>
    <mergeCell ref="C6:G6"/>
    <mergeCell ref="A34:M34"/>
    <mergeCell ref="E7:G7"/>
    <mergeCell ref="K7:M7"/>
    <mergeCell ref="A26:M26"/>
    <mergeCell ref="A27:M27"/>
    <mergeCell ref="A28:M28"/>
    <mergeCell ref="A29:M29"/>
    <mergeCell ref="A30:M30"/>
    <mergeCell ref="A31:M31"/>
    <mergeCell ref="A32:M32"/>
    <mergeCell ref="A33:M33"/>
  </mergeCells>
  <pageMargins left="0.5" right="0.5" top="0.75" bottom="0.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299C-6F70-46A8-A3CE-9A1103747617}">
  <dimension ref="A1:R37"/>
  <sheetViews>
    <sheetView zoomScaleNormal="100" workbookViewId="0">
      <selection activeCell="H38" sqref="H38:I38"/>
    </sheetView>
  </sheetViews>
  <sheetFormatPr defaultColWidth="8.7265625" defaultRowHeight="11.25" customHeight="1"/>
  <cols>
    <col min="1" max="1" width="27.7265625" style="37" customWidth="1"/>
    <col min="2" max="2" width="1.7265625" style="37" customWidth="1"/>
    <col min="3" max="3" width="6.7265625" style="37" customWidth="1"/>
    <col min="4" max="4" width="1.7265625" style="37" customWidth="1"/>
    <col min="5" max="5" width="6.7265625" style="37" customWidth="1"/>
    <col min="6" max="6" width="1.7265625" style="37" customWidth="1"/>
    <col min="7" max="7" width="6.7265625" style="37" customWidth="1"/>
    <col min="8" max="9" width="1.7265625" style="37" customWidth="1"/>
    <col min="10" max="10" width="6.7265625" style="37" customWidth="1"/>
    <col min="11" max="11" width="1.7265625" style="37" customWidth="1"/>
    <col min="12" max="12" width="6.7265625" style="37" customWidth="1"/>
    <col min="13" max="13" width="1.7265625" style="37" customWidth="1"/>
    <col min="14" max="14" width="6.7265625" style="37" customWidth="1"/>
    <col min="15" max="15" width="3" style="37" customWidth="1"/>
    <col min="16" max="16384" width="8.7265625" style="37"/>
  </cols>
  <sheetData>
    <row r="1" spans="1:18" ht="11.25" customHeight="1">
      <c r="A1" s="838" t="s">
        <v>349</v>
      </c>
      <c r="B1" s="691"/>
      <c r="C1" s="691"/>
      <c r="D1" s="691"/>
      <c r="E1" s="691"/>
      <c r="F1" s="691"/>
      <c r="G1" s="691"/>
      <c r="H1" s="691"/>
      <c r="I1" s="691"/>
      <c r="J1" s="691"/>
      <c r="K1" s="691"/>
      <c r="L1" s="691"/>
      <c r="M1" s="691"/>
      <c r="N1" s="691"/>
      <c r="O1" s="135"/>
    </row>
    <row r="2" spans="1:18" ht="11.25" customHeight="1">
      <c r="A2" s="838" t="s">
        <v>350</v>
      </c>
      <c r="B2" s="691"/>
      <c r="C2" s="691"/>
      <c r="D2" s="691"/>
      <c r="E2" s="691"/>
      <c r="F2" s="691"/>
      <c r="G2" s="691"/>
      <c r="H2" s="691"/>
      <c r="I2" s="691"/>
      <c r="J2" s="691"/>
      <c r="K2" s="691"/>
      <c r="L2" s="691"/>
      <c r="M2" s="691"/>
      <c r="N2" s="691"/>
      <c r="O2" s="134"/>
    </row>
    <row r="3" spans="1:18" ht="11.25" customHeight="1">
      <c r="A3" s="838"/>
      <c r="B3" s="691"/>
      <c r="C3" s="691"/>
      <c r="D3" s="691"/>
      <c r="E3" s="691"/>
      <c r="F3" s="691"/>
      <c r="G3" s="691"/>
      <c r="H3" s="691"/>
      <c r="I3" s="691"/>
      <c r="J3" s="691"/>
      <c r="K3" s="691"/>
      <c r="L3" s="691"/>
      <c r="M3" s="691"/>
      <c r="N3" s="691"/>
      <c r="O3" s="134"/>
    </row>
    <row r="4" spans="1:18" ht="11.25" customHeight="1">
      <c r="A4" s="838" t="s">
        <v>281</v>
      </c>
      <c r="B4" s="691"/>
      <c r="C4" s="691"/>
      <c r="D4" s="691"/>
      <c r="E4" s="691"/>
      <c r="F4" s="691"/>
      <c r="G4" s="691"/>
      <c r="H4" s="691"/>
      <c r="I4" s="691"/>
      <c r="J4" s="691"/>
      <c r="K4" s="691"/>
      <c r="L4" s="691"/>
      <c r="M4" s="691"/>
      <c r="N4" s="691"/>
      <c r="O4" s="136"/>
      <c r="R4" s="3"/>
    </row>
    <row r="5" spans="1:18" ht="11.25" customHeight="1">
      <c r="A5" s="838"/>
      <c r="B5" s="691"/>
      <c r="C5" s="691"/>
      <c r="D5" s="691"/>
      <c r="E5" s="691"/>
      <c r="F5" s="691"/>
      <c r="G5" s="691"/>
      <c r="H5" s="691"/>
      <c r="I5" s="691"/>
      <c r="J5" s="691"/>
      <c r="K5" s="691"/>
      <c r="L5" s="691"/>
      <c r="M5" s="691"/>
      <c r="N5" s="691"/>
      <c r="O5" s="134"/>
      <c r="R5" s="3"/>
    </row>
    <row r="6" spans="1:18" ht="11.25" customHeight="1">
      <c r="A6" s="258"/>
      <c r="B6" s="258"/>
      <c r="C6" s="845" t="s">
        <v>533</v>
      </c>
      <c r="D6" s="845"/>
      <c r="E6" s="845"/>
      <c r="F6" s="845"/>
      <c r="G6" s="845"/>
      <c r="H6" s="793"/>
      <c r="I6" s="552"/>
      <c r="J6" s="806" t="s">
        <v>724</v>
      </c>
      <c r="K6" s="806"/>
      <c r="L6" s="806"/>
      <c r="M6" s="806"/>
      <c r="N6" s="806"/>
      <c r="R6" s="3"/>
    </row>
    <row r="7" spans="1:18" ht="11.25" customHeight="1">
      <c r="A7" s="142"/>
      <c r="B7" s="142"/>
      <c r="C7" s="142"/>
      <c r="D7" s="142"/>
      <c r="E7" s="823" t="s">
        <v>303</v>
      </c>
      <c r="F7" s="793"/>
      <c r="G7" s="793"/>
      <c r="H7" s="551"/>
      <c r="I7" s="526"/>
      <c r="J7" s="153"/>
      <c r="K7" s="153"/>
      <c r="L7" s="831" t="s">
        <v>303</v>
      </c>
      <c r="M7" s="831"/>
      <c r="N7" s="831"/>
      <c r="R7" s="3"/>
    </row>
    <row r="8" spans="1:18" s="38" customFormat="1" ht="11.25" customHeight="1">
      <c r="A8" s="72" t="s">
        <v>386</v>
      </c>
      <c r="B8" s="72"/>
      <c r="C8" s="97" t="s">
        <v>62</v>
      </c>
      <c r="D8" s="97"/>
      <c r="E8" s="97" t="s">
        <v>304</v>
      </c>
      <c r="F8" s="97"/>
      <c r="G8" s="97" t="s">
        <v>305</v>
      </c>
      <c r="H8" s="156"/>
      <c r="I8" s="528"/>
      <c r="J8" s="97" t="s">
        <v>62</v>
      </c>
      <c r="K8" s="97"/>
      <c r="L8" s="97" t="s">
        <v>304</v>
      </c>
      <c r="M8" s="97"/>
      <c r="N8" s="97" t="s">
        <v>305</v>
      </c>
      <c r="O8" s="37"/>
      <c r="Q8" s="37"/>
      <c r="R8" s="3"/>
    </row>
    <row r="9" spans="1:18" s="38" customFormat="1" ht="11.25" customHeight="1">
      <c r="A9" s="379" t="s">
        <v>486</v>
      </c>
      <c r="B9" s="142"/>
      <c r="C9" s="267" t="s">
        <v>25</v>
      </c>
      <c r="D9" s="35"/>
      <c r="E9" s="267" t="s">
        <v>25</v>
      </c>
      <c r="F9" s="35"/>
      <c r="G9" s="267" t="s">
        <v>25</v>
      </c>
      <c r="H9" s="230"/>
      <c r="I9" s="230"/>
      <c r="J9" s="35">
        <v>160</v>
      </c>
      <c r="L9" s="35">
        <v>10808</v>
      </c>
      <c r="M9" s="142"/>
      <c r="N9" s="35">
        <v>11360</v>
      </c>
      <c r="O9" s="37"/>
      <c r="Q9" s="37"/>
      <c r="R9" s="3"/>
    </row>
    <row r="10" spans="1:18" ht="11.25" customHeight="1">
      <c r="A10" s="379" t="s">
        <v>306</v>
      </c>
      <c r="B10" s="3"/>
      <c r="C10" s="35">
        <v>598</v>
      </c>
      <c r="E10" s="35">
        <v>46819</v>
      </c>
      <c r="F10" s="95" t="s">
        <v>542</v>
      </c>
      <c r="G10" s="28">
        <v>48162</v>
      </c>
      <c r="H10" s="95" t="s">
        <v>542</v>
      </c>
      <c r="I10" s="105"/>
      <c r="J10" s="35">
        <v>510</v>
      </c>
      <c r="L10" s="35">
        <v>39756</v>
      </c>
      <c r="N10" s="35">
        <v>40162</v>
      </c>
      <c r="R10" s="3"/>
    </row>
    <row r="11" spans="1:18" ht="11.25" customHeight="1">
      <c r="A11" s="379" t="s">
        <v>295</v>
      </c>
      <c r="B11" s="3"/>
      <c r="C11" s="35">
        <v>1</v>
      </c>
      <c r="E11" s="35">
        <v>36</v>
      </c>
      <c r="F11" s="95"/>
      <c r="G11" s="28">
        <v>36</v>
      </c>
      <c r="H11" s="95"/>
      <c r="I11" s="105"/>
      <c r="J11" s="35">
        <v>2</v>
      </c>
      <c r="L11" s="35">
        <v>135</v>
      </c>
      <c r="N11" s="35">
        <v>135</v>
      </c>
      <c r="R11" s="3"/>
    </row>
    <row r="12" spans="1:18" ht="11.25" customHeight="1">
      <c r="A12" s="282" t="s">
        <v>503</v>
      </c>
      <c r="B12" s="3"/>
      <c r="C12" s="86">
        <v>20</v>
      </c>
      <c r="E12" s="86">
        <v>740</v>
      </c>
      <c r="G12" s="35">
        <v>1679</v>
      </c>
      <c r="H12" s="105"/>
      <c r="I12" s="105"/>
      <c r="J12" s="267" t="s">
        <v>25</v>
      </c>
      <c r="K12" s="35"/>
      <c r="L12" s="267" t="s">
        <v>25</v>
      </c>
      <c r="M12" s="35"/>
      <c r="N12" s="267" t="s">
        <v>25</v>
      </c>
      <c r="R12" s="3"/>
    </row>
    <row r="13" spans="1:18" ht="11.25" customHeight="1">
      <c r="A13" s="282" t="s">
        <v>465</v>
      </c>
      <c r="B13" s="3"/>
      <c r="C13" s="86">
        <v>30</v>
      </c>
      <c r="E13" s="86">
        <v>6690</v>
      </c>
      <c r="G13" s="35">
        <v>7041</v>
      </c>
      <c r="H13" s="105"/>
      <c r="I13" s="105"/>
      <c r="J13" s="86">
        <v>43</v>
      </c>
      <c r="L13" s="35">
        <v>3359</v>
      </c>
      <c r="N13" s="35">
        <v>3859</v>
      </c>
      <c r="R13" s="3"/>
    </row>
    <row r="14" spans="1:18" ht="11.25" customHeight="1">
      <c r="A14" s="98" t="s">
        <v>320</v>
      </c>
      <c r="C14" s="35">
        <v>369</v>
      </c>
      <c r="E14" s="86">
        <v>29436</v>
      </c>
      <c r="G14" s="35">
        <v>35855</v>
      </c>
      <c r="H14" s="413"/>
      <c r="I14" s="413"/>
      <c r="J14" s="35">
        <v>193</v>
      </c>
      <c r="L14" s="35">
        <v>18200</v>
      </c>
      <c r="N14" s="35">
        <v>18299</v>
      </c>
      <c r="R14" s="3"/>
    </row>
    <row r="15" spans="1:18" ht="11.25" customHeight="1">
      <c r="A15" s="378" t="s">
        <v>466</v>
      </c>
      <c r="C15" s="267" t="s">
        <v>25</v>
      </c>
      <c r="D15" s="35"/>
      <c r="E15" s="267" t="s">
        <v>25</v>
      </c>
      <c r="F15" s="35"/>
      <c r="G15" s="267" t="s">
        <v>25</v>
      </c>
      <c r="H15" s="413"/>
      <c r="I15" s="413"/>
      <c r="J15" s="35">
        <v>13</v>
      </c>
      <c r="L15" s="35">
        <v>1061</v>
      </c>
      <c r="N15" s="35">
        <v>1071</v>
      </c>
      <c r="R15" s="3"/>
    </row>
    <row r="16" spans="1:18" ht="11.25" customHeight="1">
      <c r="A16" s="98" t="s">
        <v>476</v>
      </c>
      <c r="C16" s="28">
        <v>4</v>
      </c>
      <c r="E16" s="86">
        <v>331</v>
      </c>
      <c r="F16" s="413" t="s">
        <v>542</v>
      </c>
      <c r="G16" s="35">
        <v>355</v>
      </c>
      <c r="H16" s="413" t="s">
        <v>542</v>
      </c>
      <c r="I16" s="413"/>
      <c r="J16" s="61" t="s">
        <v>543</v>
      </c>
      <c r="L16" s="35">
        <v>35</v>
      </c>
      <c r="N16" s="35">
        <v>52</v>
      </c>
      <c r="R16" s="3"/>
    </row>
    <row r="17" spans="1:18" ht="11.25" customHeight="1">
      <c r="A17" s="111" t="s">
        <v>745</v>
      </c>
      <c r="B17" s="3"/>
      <c r="C17" s="77">
        <v>1021</v>
      </c>
      <c r="D17" s="291"/>
      <c r="E17" s="77">
        <v>84052</v>
      </c>
      <c r="F17" s="417" t="s">
        <v>542</v>
      </c>
      <c r="G17" s="77">
        <v>93128</v>
      </c>
      <c r="H17" s="417" t="s">
        <v>542</v>
      </c>
      <c r="I17" s="527"/>
      <c r="J17" s="77">
        <v>921</v>
      </c>
      <c r="K17" s="291"/>
      <c r="L17" s="77">
        <v>73354</v>
      </c>
      <c r="M17" s="291"/>
      <c r="N17" s="77">
        <v>74937</v>
      </c>
      <c r="P17" s="259"/>
      <c r="R17" s="3"/>
    </row>
    <row r="18" spans="1:18" ht="11.25" customHeight="1">
      <c r="A18" s="101" t="s">
        <v>390</v>
      </c>
      <c r="B18" s="3"/>
      <c r="C18" s="35"/>
      <c r="D18" s="35"/>
      <c r="E18" s="35"/>
      <c r="F18" s="35"/>
      <c r="G18" s="35"/>
      <c r="H18" s="35"/>
      <c r="I18" s="35"/>
      <c r="J18" s="35"/>
      <c r="K18" s="35"/>
      <c r="L18" s="35"/>
      <c r="M18" s="35"/>
      <c r="N18" s="35"/>
      <c r="O18" s="30"/>
      <c r="R18" s="3"/>
    </row>
    <row r="19" spans="1:18" ht="11.25" customHeight="1">
      <c r="A19" s="102" t="s">
        <v>486</v>
      </c>
      <c r="B19" s="3"/>
      <c r="C19" s="267" t="s">
        <v>25</v>
      </c>
      <c r="D19" s="35"/>
      <c r="E19" s="267" t="s">
        <v>25</v>
      </c>
      <c r="F19" s="35"/>
      <c r="G19" s="267" t="s">
        <v>25</v>
      </c>
      <c r="H19" s="35"/>
      <c r="I19" s="35"/>
      <c r="J19" s="35">
        <v>73</v>
      </c>
      <c r="K19" s="660"/>
      <c r="L19" s="35">
        <v>3239</v>
      </c>
      <c r="M19" s="659"/>
      <c r="N19" s="35">
        <v>4816</v>
      </c>
      <c r="O19" s="30"/>
      <c r="R19" s="3"/>
    </row>
    <row r="20" spans="1:18" ht="11.25" customHeight="1">
      <c r="A20" s="385" t="s">
        <v>315</v>
      </c>
      <c r="B20" s="3"/>
      <c r="C20" s="267" t="s">
        <v>25</v>
      </c>
      <c r="D20" s="35"/>
      <c r="E20" s="267" t="s">
        <v>25</v>
      </c>
      <c r="F20" s="35"/>
      <c r="G20" s="267" t="s">
        <v>25</v>
      </c>
      <c r="H20" s="35"/>
      <c r="I20" s="35"/>
      <c r="J20" s="35">
        <v>44</v>
      </c>
      <c r="K20" s="660"/>
      <c r="L20" s="35">
        <v>2049</v>
      </c>
      <c r="M20" s="659"/>
      <c r="N20" s="35">
        <v>2746</v>
      </c>
      <c r="O20" s="30"/>
      <c r="R20" s="3"/>
    </row>
    <row r="21" spans="1:18" ht="11.25" customHeight="1">
      <c r="A21" s="385" t="s">
        <v>503</v>
      </c>
      <c r="B21" s="3"/>
      <c r="C21" s="35">
        <v>199</v>
      </c>
      <c r="D21" s="3"/>
      <c r="E21" s="35">
        <v>6530</v>
      </c>
      <c r="F21" s="3"/>
      <c r="G21" s="35">
        <v>8916</v>
      </c>
      <c r="H21" s="3"/>
      <c r="I21" s="3"/>
      <c r="J21" s="267" t="s">
        <v>25</v>
      </c>
      <c r="K21" s="267"/>
      <c r="L21" s="267" t="s">
        <v>25</v>
      </c>
      <c r="M21" s="267"/>
      <c r="N21" s="267" t="s">
        <v>25</v>
      </c>
      <c r="R21" s="3"/>
    </row>
    <row r="22" spans="1:18" ht="11.25" customHeight="1">
      <c r="A22" s="385" t="s">
        <v>320</v>
      </c>
      <c r="B22" s="3"/>
      <c r="C22" s="267" t="s">
        <v>25</v>
      </c>
      <c r="D22" s="3"/>
      <c r="E22" s="267" t="s">
        <v>25</v>
      </c>
      <c r="F22" s="3"/>
      <c r="G22" s="267" t="s">
        <v>25</v>
      </c>
      <c r="H22" s="3"/>
      <c r="I22" s="3"/>
      <c r="J22" s="35">
        <v>44</v>
      </c>
      <c r="K22" s="35"/>
      <c r="L22" s="35">
        <v>1909</v>
      </c>
      <c r="M22" s="35"/>
      <c r="N22" s="35">
        <v>2845</v>
      </c>
      <c r="R22" s="3"/>
    </row>
    <row r="23" spans="1:18" ht="11.25" customHeight="1">
      <c r="A23" s="664" t="s">
        <v>747</v>
      </c>
      <c r="B23" s="3"/>
      <c r="C23" s="35">
        <v>199</v>
      </c>
      <c r="D23" s="3"/>
      <c r="E23" s="35">
        <v>6530</v>
      </c>
      <c r="F23" s="3"/>
      <c r="G23" s="35">
        <v>8916</v>
      </c>
      <c r="H23" s="3"/>
      <c r="I23" s="3"/>
      <c r="J23" s="35">
        <v>161</v>
      </c>
      <c r="K23" s="35"/>
      <c r="L23" s="35">
        <v>7197</v>
      </c>
      <c r="M23" s="35"/>
      <c r="N23" s="35">
        <v>10407</v>
      </c>
      <c r="R23" s="3"/>
    </row>
    <row r="24" spans="1:18" ht="11.25" customHeight="1">
      <c r="A24" s="662" t="s">
        <v>746</v>
      </c>
      <c r="B24" s="661"/>
      <c r="C24" s="85">
        <v>1220</v>
      </c>
      <c r="D24" s="85"/>
      <c r="E24" s="85">
        <v>90582</v>
      </c>
      <c r="F24" s="43" t="s">
        <v>542</v>
      </c>
      <c r="G24" s="85">
        <v>102044</v>
      </c>
      <c r="H24" s="43" t="s">
        <v>542</v>
      </c>
      <c r="I24" s="85"/>
      <c r="J24" s="85">
        <v>1082</v>
      </c>
      <c r="K24" s="85"/>
      <c r="L24" s="85">
        <v>80551</v>
      </c>
      <c r="M24" s="85"/>
      <c r="N24" s="85">
        <v>85344</v>
      </c>
      <c r="R24" s="3"/>
    </row>
    <row r="25" spans="1:18" ht="11.25" customHeight="1">
      <c r="A25" s="843" t="s">
        <v>381</v>
      </c>
      <c r="B25" s="844"/>
      <c r="C25" s="844"/>
      <c r="D25" s="844"/>
      <c r="E25" s="844"/>
      <c r="F25" s="844"/>
      <c r="G25" s="844"/>
      <c r="H25" s="844"/>
      <c r="I25" s="844"/>
      <c r="J25" s="844"/>
      <c r="K25" s="844"/>
      <c r="L25" s="844"/>
      <c r="M25" s="844"/>
      <c r="N25" s="844"/>
      <c r="R25" s="3"/>
    </row>
    <row r="26" spans="1:18" ht="22.5" customHeight="1">
      <c r="A26" s="841" t="s">
        <v>740</v>
      </c>
      <c r="B26" s="700"/>
      <c r="C26" s="700"/>
      <c r="D26" s="700"/>
      <c r="E26" s="700"/>
      <c r="F26" s="700"/>
      <c r="G26" s="700"/>
      <c r="H26" s="700"/>
      <c r="I26" s="700"/>
      <c r="J26" s="700"/>
      <c r="K26" s="700"/>
      <c r="L26" s="700"/>
      <c r="M26" s="700"/>
      <c r="N26" s="700"/>
      <c r="O26" s="133"/>
      <c r="R26" s="3"/>
    </row>
    <row r="27" spans="1:18" ht="22.5" customHeight="1">
      <c r="A27" s="842" t="s">
        <v>389</v>
      </c>
      <c r="B27" s="700"/>
      <c r="C27" s="700"/>
      <c r="D27" s="700"/>
      <c r="E27" s="700"/>
      <c r="F27" s="700"/>
      <c r="G27" s="700"/>
      <c r="H27" s="700"/>
      <c r="I27" s="700"/>
      <c r="J27" s="700"/>
      <c r="K27" s="700"/>
      <c r="L27" s="700"/>
      <c r="M27" s="700"/>
      <c r="N27" s="700"/>
      <c r="O27" s="133"/>
      <c r="R27" s="39"/>
    </row>
    <row r="28" spans="1:18" ht="22.5" customHeight="1">
      <c r="A28" s="842" t="s">
        <v>813</v>
      </c>
      <c r="B28" s="700"/>
      <c r="C28" s="700"/>
      <c r="D28" s="700"/>
      <c r="E28" s="700"/>
      <c r="F28" s="700"/>
      <c r="G28" s="700"/>
      <c r="H28" s="700"/>
      <c r="I28" s="700"/>
      <c r="J28" s="700"/>
      <c r="K28" s="700"/>
      <c r="L28" s="700"/>
      <c r="M28" s="700"/>
      <c r="N28" s="700"/>
      <c r="O28" s="133"/>
    </row>
    <row r="29" spans="1:18" ht="11.25" customHeight="1">
      <c r="A29" s="840" t="s">
        <v>351</v>
      </c>
      <c r="B29" s="840"/>
      <c r="C29" s="840"/>
      <c r="D29" s="840"/>
      <c r="E29" s="840"/>
      <c r="F29" s="840"/>
      <c r="G29" s="840"/>
      <c r="H29" s="840"/>
      <c r="I29" s="840"/>
      <c r="J29" s="840"/>
      <c r="K29" s="840"/>
      <c r="L29" s="840"/>
      <c r="M29" s="840"/>
      <c r="N29" s="840"/>
      <c r="O29" s="132"/>
    </row>
    <row r="30" spans="1:18" ht="11.25" customHeight="1">
      <c r="A30" s="829" t="s">
        <v>348</v>
      </c>
      <c r="B30" s="699"/>
      <c r="C30" s="699"/>
      <c r="D30" s="699"/>
      <c r="E30" s="699"/>
      <c r="F30" s="699"/>
      <c r="G30" s="699"/>
      <c r="H30" s="699"/>
      <c r="I30" s="699"/>
      <c r="J30" s="699"/>
      <c r="K30" s="699"/>
      <c r="L30" s="699"/>
      <c r="M30" s="699"/>
      <c r="N30" s="735"/>
      <c r="O30" s="132"/>
    </row>
    <row r="31" spans="1:18" ht="11.25" customHeight="1">
      <c r="A31" s="839" t="s">
        <v>433</v>
      </c>
      <c r="B31" s="699"/>
      <c r="C31" s="699"/>
      <c r="D31" s="699"/>
      <c r="E31" s="699"/>
      <c r="F31" s="699"/>
      <c r="G31" s="699"/>
      <c r="H31" s="699"/>
      <c r="I31" s="699"/>
      <c r="J31" s="699"/>
      <c r="K31" s="699"/>
      <c r="L31" s="699"/>
      <c r="M31" s="699"/>
      <c r="N31" s="699"/>
      <c r="O31" s="132"/>
    </row>
    <row r="32" spans="1:18" ht="11.25" customHeight="1">
      <c r="A32" s="840"/>
      <c r="B32" s="699"/>
      <c r="C32" s="699"/>
      <c r="D32" s="699"/>
      <c r="E32" s="699"/>
      <c r="F32" s="699"/>
      <c r="G32" s="699"/>
      <c r="H32" s="699"/>
      <c r="I32" s="699"/>
      <c r="J32" s="699"/>
      <c r="K32" s="699"/>
      <c r="L32" s="699"/>
      <c r="M32" s="699"/>
      <c r="N32" s="699"/>
      <c r="O32" s="132"/>
    </row>
    <row r="33" spans="1:15" ht="11.25" customHeight="1">
      <c r="A33" s="839" t="s">
        <v>301</v>
      </c>
      <c r="B33" s="699"/>
      <c r="C33" s="699"/>
      <c r="D33" s="699"/>
      <c r="E33" s="699"/>
      <c r="F33" s="699"/>
      <c r="G33" s="699"/>
      <c r="H33" s="699"/>
      <c r="I33" s="699"/>
      <c r="J33" s="699"/>
      <c r="K33" s="699"/>
      <c r="L33" s="699"/>
      <c r="M33" s="699"/>
      <c r="N33" s="699"/>
      <c r="O33" s="132"/>
    </row>
    <row r="34" spans="1:15" ht="11.25" customHeight="1">
      <c r="C34" s="35"/>
      <c r="D34" s="35"/>
      <c r="E34" s="35"/>
      <c r="F34" s="35"/>
      <c r="G34" s="35"/>
      <c r="H34" s="35"/>
      <c r="I34" s="35"/>
      <c r="J34" s="35"/>
      <c r="K34" s="35"/>
      <c r="L34" s="35"/>
      <c r="M34" s="35"/>
      <c r="N34" s="35"/>
      <c r="O34" s="35"/>
    </row>
    <row r="35" spans="1:15" ht="11.25" customHeight="1">
      <c r="A35" s="3"/>
      <c r="C35" s="35"/>
      <c r="D35" s="35"/>
      <c r="E35" s="35"/>
      <c r="F35" s="35"/>
      <c r="G35" s="35"/>
      <c r="H35" s="35"/>
      <c r="I35" s="35"/>
      <c r="J35" s="35"/>
      <c r="K35" s="35"/>
      <c r="L35" s="35"/>
      <c r="M35" s="35"/>
      <c r="N35" s="35"/>
    </row>
    <row r="36" spans="1:15" ht="11.25" customHeight="1">
      <c r="A36" s="36"/>
      <c r="C36" s="35"/>
      <c r="D36" s="35"/>
      <c r="E36" s="35"/>
      <c r="F36" s="35"/>
      <c r="G36" s="35"/>
      <c r="H36" s="35"/>
      <c r="I36" s="35"/>
      <c r="J36" s="35"/>
      <c r="K36" s="35"/>
      <c r="L36" s="35"/>
      <c r="M36" s="35"/>
      <c r="N36" s="35"/>
    </row>
    <row r="37" spans="1:15" ht="11.25" customHeight="1">
      <c r="A37" s="36"/>
    </row>
  </sheetData>
  <sortState xmlns:xlrd2="http://schemas.microsoft.com/office/spreadsheetml/2017/richdata2" ref="Q6:Q16">
    <sortCondition ref="Q6:Q16"/>
  </sortState>
  <mergeCells count="18">
    <mergeCell ref="J6:N6"/>
    <mergeCell ref="E7:G7"/>
    <mergeCell ref="L7:N7"/>
    <mergeCell ref="A25:N25"/>
    <mergeCell ref="C6:H6"/>
    <mergeCell ref="A31:N31"/>
    <mergeCell ref="A32:N32"/>
    <mergeCell ref="A33:N33"/>
    <mergeCell ref="A26:N26"/>
    <mergeCell ref="A27:N27"/>
    <mergeCell ref="A28:N28"/>
    <mergeCell ref="A29:N29"/>
    <mergeCell ref="A30:N30"/>
    <mergeCell ref="A1:N1"/>
    <mergeCell ref="A2:N2"/>
    <mergeCell ref="A3:N3"/>
    <mergeCell ref="A4:N4"/>
    <mergeCell ref="A5:N5"/>
  </mergeCells>
  <pageMargins left="0.5" right="0.5" top="0.75" bottom="0.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78E2-0A68-4101-825A-182B83ACCA0D}">
  <dimension ref="A1:L175"/>
  <sheetViews>
    <sheetView topLeftCell="A113" zoomScale="110" zoomScaleNormal="110" workbookViewId="0">
      <selection activeCell="A115" sqref="A115"/>
    </sheetView>
  </sheetViews>
  <sheetFormatPr defaultColWidth="9.1796875" defaultRowHeight="10.5"/>
  <cols>
    <col min="1" max="1" width="23.54296875" style="667" customWidth="1"/>
    <col min="2" max="2" width="1.81640625" style="555" customWidth="1"/>
    <col min="3" max="3" width="8.7265625" style="555" customWidth="1"/>
    <col min="4" max="4" width="1.81640625" style="667" customWidth="1"/>
    <col min="5" max="5" width="8.7265625" style="555" customWidth="1"/>
    <col min="6" max="6" width="3" style="667" customWidth="1"/>
    <col min="7" max="7" width="8.7265625" style="555" customWidth="1"/>
    <col min="8" max="8" width="3" style="667" customWidth="1"/>
    <col min="9" max="9" width="8.7265625" style="555" customWidth="1"/>
    <col min="10" max="10" width="3" style="667" customWidth="1"/>
    <col min="11" max="11" width="8.7265625" style="555" customWidth="1"/>
    <col min="12" max="12" width="1.81640625" style="667" customWidth="1"/>
    <col min="13" max="16384" width="9.1796875" style="555"/>
  </cols>
  <sheetData>
    <row r="1" spans="1:12" ht="11.25" customHeight="1">
      <c r="A1" s="847" t="s">
        <v>551</v>
      </c>
      <c r="B1" s="847"/>
      <c r="C1" s="847"/>
      <c r="D1" s="847"/>
      <c r="E1" s="847"/>
      <c r="F1" s="847"/>
      <c r="G1" s="847"/>
      <c r="H1" s="847"/>
      <c r="I1" s="847"/>
      <c r="J1" s="847"/>
      <c r="K1" s="847"/>
      <c r="L1" s="847"/>
    </row>
    <row r="2" spans="1:12" ht="11.25" customHeight="1">
      <c r="A2" s="847" t="s">
        <v>552</v>
      </c>
      <c r="B2" s="847"/>
      <c r="C2" s="847"/>
      <c r="D2" s="847"/>
      <c r="E2" s="847"/>
      <c r="F2" s="847"/>
      <c r="G2" s="847"/>
      <c r="H2" s="847"/>
      <c r="I2" s="847"/>
      <c r="J2" s="847"/>
      <c r="K2" s="847"/>
      <c r="L2" s="847"/>
    </row>
    <row r="3" spans="1:12" ht="11.25" customHeight="1">
      <c r="A3" s="848"/>
      <c r="B3" s="848"/>
      <c r="C3" s="848"/>
      <c r="D3" s="848"/>
      <c r="E3" s="848"/>
      <c r="F3" s="848"/>
      <c r="G3" s="848"/>
      <c r="H3" s="848"/>
      <c r="I3" s="848"/>
      <c r="J3" s="848"/>
      <c r="K3" s="848"/>
      <c r="L3" s="848"/>
    </row>
    <row r="4" spans="1:12" ht="11.25" customHeight="1">
      <c r="A4" s="847" t="s">
        <v>80</v>
      </c>
      <c r="B4" s="847"/>
      <c r="C4" s="847"/>
      <c r="D4" s="847"/>
      <c r="E4" s="847"/>
      <c r="F4" s="847"/>
      <c r="G4" s="847"/>
      <c r="H4" s="847"/>
      <c r="I4" s="847"/>
      <c r="J4" s="847"/>
      <c r="K4" s="847"/>
      <c r="L4" s="847"/>
    </row>
    <row r="5" spans="1:12" ht="11.25" customHeight="1">
      <c r="A5" s="849"/>
      <c r="B5" s="849"/>
      <c r="C5" s="849"/>
      <c r="D5" s="849"/>
      <c r="E5" s="849"/>
      <c r="F5" s="849"/>
      <c r="G5" s="849"/>
      <c r="H5" s="849"/>
      <c r="I5" s="849"/>
      <c r="J5" s="849"/>
      <c r="K5" s="849"/>
      <c r="L5" s="849"/>
    </row>
    <row r="6" spans="1:12" ht="11.25" customHeight="1">
      <c r="A6" s="637" t="s">
        <v>386</v>
      </c>
      <c r="B6" s="638"/>
      <c r="C6" s="639" t="s">
        <v>464</v>
      </c>
      <c r="D6" s="640"/>
      <c r="E6" s="639" t="s">
        <v>485</v>
      </c>
      <c r="F6" s="640"/>
      <c r="G6" s="639" t="s">
        <v>506</v>
      </c>
      <c r="H6" s="640"/>
      <c r="I6" s="639" t="s">
        <v>533</v>
      </c>
      <c r="J6" s="640"/>
      <c r="K6" s="639" t="s">
        <v>724</v>
      </c>
      <c r="L6" s="640"/>
    </row>
    <row r="7" spans="1:12" ht="11.25" customHeight="1">
      <c r="A7" s="640" t="s">
        <v>553</v>
      </c>
      <c r="C7" s="556">
        <v>80</v>
      </c>
      <c r="D7" s="557"/>
      <c r="E7" s="556">
        <v>80</v>
      </c>
      <c r="F7" s="557"/>
      <c r="G7" s="556">
        <v>55</v>
      </c>
      <c r="H7" s="557" t="s">
        <v>542</v>
      </c>
      <c r="I7" s="556">
        <v>36</v>
      </c>
      <c r="J7" s="557" t="s">
        <v>542</v>
      </c>
      <c r="K7" s="556">
        <v>208</v>
      </c>
    </row>
    <row r="8" spans="1:12" ht="11.25" customHeight="1">
      <c r="A8" s="640" t="s">
        <v>554</v>
      </c>
      <c r="C8" s="556">
        <v>1770</v>
      </c>
      <c r="D8" s="557"/>
      <c r="E8" s="556">
        <v>2522</v>
      </c>
      <c r="F8" s="557"/>
      <c r="G8" s="556">
        <v>2503</v>
      </c>
      <c r="H8" s="557"/>
      <c r="I8" s="556">
        <v>1730</v>
      </c>
      <c r="J8" s="557"/>
      <c r="K8" s="556">
        <v>2700</v>
      </c>
      <c r="L8" s="557" t="s">
        <v>561</v>
      </c>
    </row>
    <row r="9" spans="1:12" ht="11.25" customHeight="1">
      <c r="A9" s="640" t="s">
        <v>555</v>
      </c>
      <c r="C9" s="556">
        <v>26000</v>
      </c>
      <c r="D9" s="557"/>
      <c r="E9" s="556">
        <v>23000</v>
      </c>
      <c r="F9" s="557"/>
      <c r="G9" s="556">
        <v>26000</v>
      </c>
      <c r="H9" s="557"/>
      <c r="I9" s="556">
        <v>28000</v>
      </c>
      <c r="J9" s="557"/>
      <c r="K9" s="556">
        <v>28000</v>
      </c>
      <c r="L9" s="557"/>
    </row>
    <row r="10" spans="1:12" ht="11.25" customHeight="1">
      <c r="A10" s="640" t="s">
        <v>556</v>
      </c>
      <c r="C10" s="556">
        <v>2900</v>
      </c>
      <c r="D10" s="557"/>
      <c r="E10" s="556">
        <v>2800</v>
      </c>
      <c r="F10" s="557"/>
      <c r="G10" s="556">
        <v>2800</v>
      </c>
      <c r="H10" s="557"/>
      <c r="I10" s="556">
        <v>3129</v>
      </c>
      <c r="J10" s="557" t="s">
        <v>542</v>
      </c>
      <c r="K10" s="556">
        <v>3225</v>
      </c>
      <c r="L10" s="557"/>
    </row>
    <row r="11" spans="1:12" ht="11.25" customHeight="1">
      <c r="A11" s="640" t="s">
        <v>557</v>
      </c>
      <c r="C11" s="556">
        <v>11082</v>
      </c>
      <c r="D11" s="557"/>
      <c r="E11" s="556">
        <v>9871</v>
      </c>
      <c r="F11" s="557"/>
      <c r="G11" s="556">
        <v>12126</v>
      </c>
      <c r="H11" s="557"/>
      <c r="I11" s="556">
        <v>12976</v>
      </c>
      <c r="J11" s="557"/>
      <c r="K11" s="556">
        <v>12557</v>
      </c>
    </row>
    <row r="12" spans="1:12" ht="11.25" customHeight="1">
      <c r="A12" s="640" t="s">
        <v>558</v>
      </c>
      <c r="C12" s="556">
        <v>591</v>
      </c>
      <c r="D12" s="557"/>
      <c r="E12" s="556">
        <v>715</v>
      </c>
      <c r="G12" s="556">
        <v>744</v>
      </c>
      <c r="H12" s="557"/>
      <c r="I12" s="556">
        <v>1004</v>
      </c>
      <c r="J12" s="557"/>
      <c r="K12" s="556">
        <v>1136</v>
      </c>
    </row>
    <row r="13" spans="1:12" ht="11.25" customHeight="1">
      <c r="A13" s="640" t="s">
        <v>559</v>
      </c>
      <c r="C13" s="556">
        <v>9700</v>
      </c>
      <c r="D13" s="557" t="s">
        <v>542</v>
      </c>
      <c r="E13" s="556">
        <v>9600</v>
      </c>
      <c r="F13" s="557"/>
      <c r="G13" s="556">
        <v>9800</v>
      </c>
      <c r="H13" s="557"/>
      <c r="I13" s="556">
        <v>10000</v>
      </c>
      <c r="J13" s="557"/>
      <c r="K13" s="556">
        <v>10000</v>
      </c>
    </row>
    <row r="14" spans="1:12" ht="11.25" customHeight="1">
      <c r="A14" s="640" t="s">
        <v>560</v>
      </c>
      <c r="C14" s="556">
        <v>5264</v>
      </c>
      <c r="D14" s="557"/>
      <c r="E14" s="556">
        <v>5404</v>
      </c>
      <c r="F14" s="557"/>
      <c r="G14" s="556">
        <v>5624</v>
      </c>
      <c r="H14" s="557"/>
      <c r="I14" s="556">
        <v>5434</v>
      </c>
      <c r="J14" s="557" t="s">
        <v>542</v>
      </c>
      <c r="K14" s="556">
        <v>4400</v>
      </c>
      <c r="L14" s="557" t="s">
        <v>561</v>
      </c>
    </row>
    <row r="15" spans="1:12" ht="11.25" customHeight="1">
      <c r="A15" s="640" t="s">
        <v>562</v>
      </c>
      <c r="C15" s="556">
        <v>3488</v>
      </c>
      <c r="E15" s="556">
        <v>3237</v>
      </c>
      <c r="F15" s="557"/>
      <c r="G15" s="556">
        <v>3439</v>
      </c>
      <c r="H15" s="557"/>
      <c r="I15" s="556">
        <v>3561</v>
      </c>
      <c r="J15" s="557"/>
      <c r="K15" s="556">
        <v>3725</v>
      </c>
    </row>
    <row r="16" spans="1:12" ht="11.25" customHeight="1">
      <c r="A16" s="640" t="s">
        <v>563</v>
      </c>
      <c r="C16" s="556">
        <v>670</v>
      </c>
      <c r="D16" s="557"/>
      <c r="E16" s="556">
        <v>743</v>
      </c>
      <c r="F16" s="557" t="s">
        <v>542</v>
      </c>
      <c r="G16" s="556">
        <v>843</v>
      </c>
      <c r="H16" s="557" t="s">
        <v>542</v>
      </c>
      <c r="I16" s="556">
        <v>909</v>
      </c>
      <c r="J16" s="557" t="s">
        <v>568</v>
      </c>
      <c r="K16" s="556">
        <v>978</v>
      </c>
      <c r="L16" s="557" t="s">
        <v>561</v>
      </c>
    </row>
    <row r="17" spans="1:12" ht="11.25" customHeight="1">
      <c r="A17" s="640" t="s">
        <v>564</v>
      </c>
      <c r="C17" s="556">
        <v>33800</v>
      </c>
      <c r="D17" s="557"/>
      <c r="E17" s="556">
        <v>31400</v>
      </c>
      <c r="F17" s="557" t="s">
        <v>561</v>
      </c>
      <c r="G17" s="556">
        <v>38000</v>
      </c>
      <c r="H17" s="557" t="s">
        <v>568</v>
      </c>
      <c r="I17" s="556">
        <v>35000</v>
      </c>
      <c r="J17" s="557" t="s">
        <v>568</v>
      </c>
      <c r="K17" s="556">
        <v>38000</v>
      </c>
      <c r="L17" s="557" t="s">
        <v>561</v>
      </c>
    </row>
    <row r="18" spans="1:12" ht="11.25" customHeight="1">
      <c r="A18" s="640" t="s">
        <v>565</v>
      </c>
      <c r="C18" s="556">
        <v>240</v>
      </c>
      <c r="D18" s="557"/>
      <c r="E18" s="556">
        <v>180</v>
      </c>
      <c r="F18" s="557"/>
      <c r="G18" s="556">
        <v>240</v>
      </c>
      <c r="H18" s="557"/>
      <c r="I18" s="556">
        <v>240</v>
      </c>
      <c r="J18" s="557"/>
      <c r="K18" s="556">
        <v>220</v>
      </c>
    </row>
    <row r="19" spans="1:12" ht="11.25" customHeight="1">
      <c r="A19" s="640" t="s">
        <v>566</v>
      </c>
      <c r="C19" s="556">
        <v>4728</v>
      </c>
      <c r="E19" s="556">
        <v>4736</v>
      </c>
      <c r="G19" s="556">
        <v>4985</v>
      </c>
      <c r="I19" s="556">
        <v>5000</v>
      </c>
      <c r="J19" s="557" t="s">
        <v>561</v>
      </c>
      <c r="K19" s="556">
        <v>5000</v>
      </c>
      <c r="L19" s="557" t="s">
        <v>561</v>
      </c>
    </row>
    <row r="20" spans="1:12" ht="11.25" customHeight="1">
      <c r="A20" s="640" t="s">
        <v>567</v>
      </c>
      <c r="C20" s="556">
        <v>7752</v>
      </c>
      <c r="D20" s="557" t="s">
        <v>542</v>
      </c>
      <c r="E20" s="556">
        <v>7580</v>
      </c>
      <c r="F20" s="557" t="s">
        <v>542</v>
      </c>
      <c r="G20" s="556">
        <v>7627</v>
      </c>
      <c r="H20" s="557" t="s">
        <v>542</v>
      </c>
      <c r="I20" s="556">
        <v>7236</v>
      </c>
      <c r="J20" s="557" t="s">
        <v>542</v>
      </c>
      <c r="K20" s="556">
        <v>6638</v>
      </c>
      <c r="L20" s="557"/>
    </row>
    <row r="21" spans="1:12" ht="11.25" customHeight="1">
      <c r="A21" s="640" t="s">
        <v>760</v>
      </c>
      <c r="C21" s="666" t="s">
        <v>761</v>
      </c>
      <c r="D21" s="557"/>
      <c r="E21" s="666" t="s">
        <v>761</v>
      </c>
      <c r="F21" s="557"/>
      <c r="G21" s="556">
        <v>47</v>
      </c>
      <c r="I21" s="556">
        <v>56</v>
      </c>
      <c r="J21" s="557" t="s">
        <v>561</v>
      </c>
      <c r="K21" s="556">
        <v>69</v>
      </c>
      <c r="L21" s="557" t="s">
        <v>561</v>
      </c>
    </row>
    <row r="22" spans="1:12" ht="11.25" customHeight="1">
      <c r="A22" s="640" t="s">
        <v>762</v>
      </c>
      <c r="C22" s="556">
        <v>2600</v>
      </c>
      <c r="D22" s="557"/>
      <c r="E22" s="556">
        <v>2700</v>
      </c>
      <c r="F22" s="557"/>
      <c r="G22" s="556">
        <v>2900</v>
      </c>
      <c r="H22" s="557"/>
      <c r="I22" s="556">
        <v>3000</v>
      </c>
      <c r="J22" s="557"/>
      <c r="K22" s="556">
        <v>3090</v>
      </c>
      <c r="L22" s="557"/>
    </row>
    <row r="23" spans="1:12" ht="11.25" customHeight="1">
      <c r="A23" s="640" t="s">
        <v>569</v>
      </c>
      <c r="C23" s="556">
        <v>1190</v>
      </c>
      <c r="D23" s="557" t="s">
        <v>542</v>
      </c>
      <c r="E23" s="556">
        <v>1066</v>
      </c>
      <c r="F23" s="557" t="s">
        <v>542</v>
      </c>
      <c r="G23" s="556">
        <v>899</v>
      </c>
      <c r="H23" s="557" t="s">
        <v>542</v>
      </c>
      <c r="I23" s="556">
        <v>803</v>
      </c>
      <c r="J23" s="557" t="s">
        <v>542</v>
      </c>
      <c r="K23" s="556">
        <v>800</v>
      </c>
      <c r="L23" s="557"/>
    </row>
    <row r="24" spans="1:12" ht="11.25" customHeight="1">
      <c r="A24" s="640" t="s">
        <v>570</v>
      </c>
      <c r="C24" s="556">
        <v>3950</v>
      </c>
      <c r="E24" s="556">
        <v>3210</v>
      </c>
      <c r="F24" s="557" t="s">
        <v>561</v>
      </c>
      <c r="G24" s="556">
        <v>3607</v>
      </c>
      <c r="H24" s="557" t="s">
        <v>542</v>
      </c>
      <c r="I24" s="556">
        <v>3889</v>
      </c>
      <c r="J24" s="557" t="s">
        <v>542</v>
      </c>
      <c r="K24" s="556">
        <v>3977</v>
      </c>
      <c r="L24" s="557"/>
    </row>
    <row r="25" spans="1:12" ht="11.25" customHeight="1">
      <c r="A25" s="640" t="s">
        <v>571</v>
      </c>
      <c r="C25" s="556">
        <v>955</v>
      </c>
      <c r="E25" s="556">
        <v>1126</v>
      </c>
      <c r="G25" s="556">
        <v>1097</v>
      </c>
      <c r="I25" s="556">
        <v>1192</v>
      </c>
      <c r="J25" s="557" t="s">
        <v>542</v>
      </c>
      <c r="K25" s="556">
        <v>1200</v>
      </c>
      <c r="L25" s="557" t="s">
        <v>561</v>
      </c>
    </row>
    <row r="26" spans="1:12" ht="11.25" customHeight="1">
      <c r="A26" s="640" t="s">
        <v>572</v>
      </c>
      <c r="C26" s="666" t="s">
        <v>25</v>
      </c>
      <c r="D26" s="557"/>
      <c r="E26" s="666" t="s">
        <v>25</v>
      </c>
      <c r="F26" s="557"/>
      <c r="G26" s="666" t="s">
        <v>25</v>
      </c>
      <c r="H26" s="557"/>
      <c r="I26" s="556">
        <v>11</v>
      </c>
      <c r="J26" s="557" t="s">
        <v>561</v>
      </c>
      <c r="K26" s="556">
        <v>70</v>
      </c>
      <c r="L26" s="557" t="s">
        <v>561</v>
      </c>
    </row>
    <row r="27" spans="1:12" ht="11.25" customHeight="1">
      <c r="A27" s="640" t="s">
        <v>283</v>
      </c>
      <c r="C27" s="556">
        <v>56611</v>
      </c>
      <c r="D27" s="557"/>
      <c r="E27" s="556">
        <v>61052</v>
      </c>
      <c r="F27" s="557"/>
      <c r="G27" s="556">
        <v>65884</v>
      </c>
      <c r="H27" s="557"/>
      <c r="I27" s="556">
        <v>63546</v>
      </c>
      <c r="J27" s="557"/>
      <c r="K27" s="556">
        <v>66526</v>
      </c>
    </row>
    <row r="28" spans="1:12" ht="11.25" customHeight="1">
      <c r="A28" s="640" t="s">
        <v>763</v>
      </c>
      <c r="C28" s="556">
        <v>100</v>
      </c>
      <c r="D28" s="557" t="s">
        <v>568</v>
      </c>
      <c r="E28" s="556">
        <v>120</v>
      </c>
      <c r="F28" s="557" t="s">
        <v>542</v>
      </c>
      <c r="G28" s="556">
        <v>294</v>
      </c>
      <c r="H28" s="557" t="s">
        <v>542</v>
      </c>
      <c r="I28" s="556">
        <v>313</v>
      </c>
      <c r="J28" s="557" t="s">
        <v>568</v>
      </c>
      <c r="K28" s="556">
        <v>324</v>
      </c>
      <c r="L28" s="557" t="s">
        <v>561</v>
      </c>
    </row>
    <row r="29" spans="1:12" ht="11.25" customHeight="1">
      <c r="A29" s="640" t="s">
        <v>573</v>
      </c>
      <c r="C29" s="556">
        <v>2456</v>
      </c>
      <c r="E29" s="556">
        <v>2000</v>
      </c>
      <c r="G29" s="556">
        <v>1989</v>
      </c>
      <c r="I29" s="556">
        <v>1952</v>
      </c>
      <c r="K29" s="556">
        <v>1986</v>
      </c>
    </row>
    <row r="30" spans="1:12" ht="11.25" customHeight="1">
      <c r="A30" s="640" t="s">
        <v>574</v>
      </c>
      <c r="C30" s="556">
        <v>2745</v>
      </c>
      <c r="D30" s="557"/>
      <c r="E30" s="556">
        <v>2800</v>
      </c>
      <c r="F30" s="557" t="s">
        <v>561</v>
      </c>
      <c r="G30" s="556">
        <v>3000</v>
      </c>
      <c r="H30" s="557" t="s">
        <v>561</v>
      </c>
      <c r="I30" s="556">
        <v>3100</v>
      </c>
      <c r="J30" s="557" t="s">
        <v>561</v>
      </c>
      <c r="K30" s="556">
        <v>3100</v>
      </c>
      <c r="L30" s="557" t="s">
        <v>561</v>
      </c>
    </row>
    <row r="31" spans="1:12" ht="11.25" customHeight="1">
      <c r="A31" s="640" t="s">
        <v>575</v>
      </c>
      <c r="C31" s="556">
        <v>5100</v>
      </c>
      <c r="D31" s="557"/>
      <c r="E31" s="556">
        <v>6000</v>
      </c>
      <c r="F31" s="557"/>
      <c r="G31" s="556">
        <v>6700</v>
      </c>
      <c r="H31" s="557" t="s">
        <v>561</v>
      </c>
      <c r="I31" s="556">
        <v>8100</v>
      </c>
      <c r="J31" s="557" t="s">
        <v>561</v>
      </c>
      <c r="K31" s="556">
        <v>8500</v>
      </c>
      <c r="L31" s="557" t="s">
        <v>561</v>
      </c>
    </row>
    <row r="32" spans="1:12" ht="11.25" customHeight="1">
      <c r="A32" s="640" t="s">
        <v>576</v>
      </c>
      <c r="C32" s="556">
        <v>75</v>
      </c>
      <c r="E32" s="556">
        <v>210</v>
      </c>
      <c r="G32" s="556">
        <v>180</v>
      </c>
      <c r="I32" s="556">
        <v>180</v>
      </c>
      <c r="K32" s="556">
        <v>170</v>
      </c>
    </row>
    <row r="33" spans="1:12" ht="11.25" customHeight="1">
      <c r="A33" s="640" t="s">
        <v>577</v>
      </c>
      <c r="C33" s="556">
        <v>7400</v>
      </c>
      <c r="D33" s="557"/>
      <c r="E33" s="556">
        <v>7900</v>
      </c>
      <c r="G33" s="556">
        <v>8700</v>
      </c>
      <c r="H33" s="557" t="s">
        <v>561</v>
      </c>
      <c r="I33" s="556">
        <v>8900</v>
      </c>
      <c r="J33" s="557" t="s">
        <v>561</v>
      </c>
      <c r="K33" s="556">
        <v>8700</v>
      </c>
      <c r="L33" s="557" t="s">
        <v>561</v>
      </c>
    </row>
    <row r="34" spans="1:12" ht="11.25" customHeight="1">
      <c r="A34" s="640" t="s">
        <v>578</v>
      </c>
      <c r="C34" s="556">
        <v>2780</v>
      </c>
      <c r="D34" s="557"/>
      <c r="E34" s="556">
        <v>3440</v>
      </c>
      <c r="F34" s="557" t="s">
        <v>561</v>
      </c>
      <c r="G34" s="556">
        <v>4000</v>
      </c>
      <c r="H34" s="557" t="s">
        <v>568</v>
      </c>
      <c r="I34" s="556">
        <v>4100</v>
      </c>
      <c r="J34" s="557" t="s">
        <v>568</v>
      </c>
      <c r="K34" s="556">
        <v>4000</v>
      </c>
      <c r="L34" s="557" t="s">
        <v>561</v>
      </c>
    </row>
    <row r="35" spans="1:12" ht="11.25" customHeight="1">
      <c r="A35" s="640" t="s">
        <v>284</v>
      </c>
      <c r="C35" s="556">
        <v>13116</v>
      </c>
      <c r="D35" s="557" t="s">
        <v>542</v>
      </c>
      <c r="E35" s="556">
        <v>13000</v>
      </c>
      <c r="F35" s="557" t="s">
        <v>542</v>
      </c>
      <c r="G35" s="556">
        <v>14000</v>
      </c>
      <c r="H35" s="557" t="s">
        <v>561</v>
      </c>
      <c r="I35" s="556">
        <v>13700</v>
      </c>
      <c r="J35" s="557" t="s">
        <v>568</v>
      </c>
      <c r="K35" s="556">
        <v>13700</v>
      </c>
      <c r="L35" s="557" t="s">
        <v>561</v>
      </c>
    </row>
    <row r="36" spans="1:12" ht="11.25" customHeight="1">
      <c r="A36" s="640" t="s">
        <v>579</v>
      </c>
      <c r="C36" s="556">
        <v>410</v>
      </c>
      <c r="D36" s="557"/>
      <c r="E36" s="556">
        <v>390</v>
      </c>
      <c r="F36" s="557"/>
      <c r="G36" s="556">
        <v>510</v>
      </c>
      <c r="H36" s="557"/>
      <c r="I36" s="556">
        <v>600</v>
      </c>
      <c r="J36" s="557" t="s">
        <v>561</v>
      </c>
      <c r="K36" s="556">
        <v>650</v>
      </c>
      <c r="L36" s="557" t="s">
        <v>561</v>
      </c>
    </row>
    <row r="37" spans="1:12" ht="11.25" customHeight="1">
      <c r="A37" s="640" t="s">
        <v>286</v>
      </c>
      <c r="C37" s="556">
        <v>5030</v>
      </c>
      <c r="D37" s="557"/>
      <c r="E37" s="556">
        <v>3797</v>
      </c>
      <c r="F37" s="557" t="s">
        <v>542</v>
      </c>
      <c r="G37" s="556">
        <v>4388</v>
      </c>
      <c r="H37" s="557" t="s">
        <v>542</v>
      </c>
      <c r="I37" s="556">
        <v>4000</v>
      </c>
      <c r="J37" s="557" t="s">
        <v>568</v>
      </c>
      <c r="K37" s="556">
        <v>3600</v>
      </c>
      <c r="L37" s="557" t="s">
        <v>561</v>
      </c>
    </row>
    <row r="38" spans="1:12" ht="11.25" customHeight="1">
      <c r="A38" s="640" t="s">
        <v>287</v>
      </c>
      <c r="C38" s="556">
        <v>2340000</v>
      </c>
      <c r="D38" s="557"/>
      <c r="E38" s="556">
        <v>2377000</v>
      </c>
      <c r="F38" s="557"/>
      <c r="G38" s="556">
        <v>2362812</v>
      </c>
      <c r="H38" s="557"/>
      <c r="I38" s="556">
        <v>2037190</v>
      </c>
      <c r="J38" s="557" t="s">
        <v>542</v>
      </c>
      <c r="K38" s="556">
        <v>2022930</v>
      </c>
      <c r="L38" s="557"/>
    </row>
    <row r="39" spans="1:12" ht="11.25" customHeight="1">
      <c r="A39" s="640" t="s">
        <v>467</v>
      </c>
      <c r="C39" s="556">
        <v>13013</v>
      </c>
      <c r="D39" s="557"/>
      <c r="E39" s="556">
        <v>11849</v>
      </c>
      <c r="F39" s="557"/>
      <c r="G39" s="556">
        <v>13797</v>
      </c>
      <c r="H39" s="557"/>
      <c r="I39" s="556">
        <v>14613</v>
      </c>
      <c r="J39" s="557"/>
      <c r="K39" s="556">
        <v>14211</v>
      </c>
    </row>
    <row r="40" spans="1:12" ht="11.25" customHeight="1">
      <c r="A40" s="640" t="s">
        <v>580</v>
      </c>
      <c r="C40" s="556">
        <v>730</v>
      </c>
      <c r="D40" s="557" t="s">
        <v>561</v>
      </c>
      <c r="E40" s="556">
        <v>600</v>
      </c>
      <c r="F40" s="557" t="s">
        <v>561</v>
      </c>
      <c r="G40" s="556">
        <v>748</v>
      </c>
      <c r="H40" s="557"/>
      <c r="I40" s="556">
        <v>894</v>
      </c>
      <c r="J40" s="557"/>
      <c r="K40" s="556">
        <v>1041</v>
      </c>
    </row>
    <row r="41" spans="1:12" ht="11.25" customHeight="1">
      <c r="A41" s="640" t="s">
        <v>581</v>
      </c>
      <c r="C41" s="556">
        <v>1383</v>
      </c>
      <c r="D41" s="557"/>
      <c r="E41" s="556">
        <v>1284</v>
      </c>
      <c r="F41" s="557"/>
      <c r="G41" s="556">
        <v>1629</v>
      </c>
      <c r="H41" s="557"/>
      <c r="I41" s="556">
        <v>2073</v>
      </c>
      <c r="J41" s="557" t="s">
        <v>542</v>
      </c>
      <c r="K41" s="556">
        <v>2298</v>
      </c>
    </row>
    <row r="42" spans="1:12" ht="11.25" customHeight="1">
      <c r="A42" s="640" t="s">
        <v>582</v>
      </c>
      <c r="C42" s="556">
        <v>1090</v>
      </c>
      <c r="D42" s="557" t="s">
        <v>542</v>
      </c>
      <c r="E42" s="556">
        <v>972</v>
      </c>
      <c r="F42" s="557" t="s">
        <v>542</v>
      </c>
      <c r="G42" s="556">
        <v>975</v>
      </c>
      <c r="H42" s="557" t="s">
        <v>542</v>
      </c>
      <c r="I42" s="556">
        <v>1029</v>
      </c>
      <c r="J42" s="557" t="s">
        <v>542</v>
      </c>
      <c r="K42" s="556">
        <v>1030</v>
      </c>
      <c r="L42" s="557" t="s">
        <v>561</v>
      </c>
    </row>
    <row r="43" spans="1:12" ht="11.25" customHeight="1">
      <c r="A43" s="640" t="s">
        <v>583</v>
      </c>
      <c r="C43" s="556">
        <v>4900</v>
      </c>
      <c r="D43" s="557"/>
      <c r="E43" s="556">
        <v>5000</v>
      </c>
      <c r="F43" s="557" t="s">
        <v>561</v>
      </c>
      <c r="G43" s="556">
        <v>5000</v>
      </c>
      <c r="H43" s="557" t="s">
        <v>561</v>
      </c>
      <c r="I43" s="556">
        <v>5000</v>
      </c>
      <c r="J43" s="557" t="s">
        <v>561</v>
      </c>
      <c r="K43" s="556">
        <v>5000</v>
      </c>
      <c r="L43" s="557" t="s">
        <v>561</v>
      </c>
    </row>
    <row r="44" spans="1:12" ht="11.25" customHeight="1">
      <c r="A44" s="640" t="s">
        <v>313</v>
      </c>
      <c r="C44" s="556">
        <v>3099</v>
      </c>
      <c r="D44" s="557" t="s">
        <v>542</v>
      </c>
      <c r="E44" s="556">
        <v>3106</v>
      </c>
      <c r="F44" s="557" t="s">
        <v>542</v>
      </c>
      <c r="G44" s="556">
        <v>3229</v>
      </c>
      <c r="H44" s="557" t="s">
        <v>542</v>
      </c>
      <c r="I44" s="556">
        <v>3111</v>
      </c>
      <c r="J44" s="557" t="s">
        <v>542</v>
      </c>
      <c r="K44" s="556">
        <v>3126</v>
      </c>
    </row>
    <row r="45" spans="1:12" ht="11.25" customHeight="1">
      <c r="A45" s="640" t="s">
        <v>584</v>
      </c>
      <c r="C45" s="556">
        <v>1407</v>
      </c>
      <c r="E45" s="556">
        <v>1015</v>
      </c>
      <c r="G45" s="556">
        <v>817</v>
      </c>
      <c r="I45" s="556">
        <v>680</v>
      </c>
      <c r="K45" s="556">
        <v>520</v>
      </c>
    </row>
    <row r="46" spans="1:12" ht="11.25" customHeight="1">
      <c r="A46" s="640" t="s">
        <v>501</v>
      </c>
      <c r="C46" s="556">
        <v>1537</v>
      </c>
      <c r="E46" s="556">
        <v>1496</v>
      </c>
      <c r="G46" s="556">
        <v>1440</v>
      </c>
      <c r="I46" s="556">
        <v>1858</v>
      </c>
      <c r="K46" s="556">
        <v>1726</v>
      </c>
    </row>
    <row r="47" spans="1:12" ht="11.25" customHeight="1">
      <c r="A47" s="640" t="s">
        <v>585</v>
      </c>
      <c r="C47" s="556">
        <v>4569</v>
      </c>
      <c r="E47" s="556">
        <v>4513</v>
      </c>
      <c r="G47" s="556">
        <v>4721</v>
      </c>
      <c r="H47" s="557"/>
      <c r="I47" s="556">
        <v>4476</v>
      </c>
      <c r="J47" s="557"/>
      <c r="K47" s="556">
        <v>3647</v>
      </c>
    </row>
    <row r="48" spans="1:12" ht="11.25" customHeight="1">
      <c r="A48" s="640" t="s">
        <v>314</v>
      </c>
      <c r="C48" s="556">
        <v>2250</v>
      </c>
      <c r="D48" s="557"/>
      <c r="E48" s="556">
        <v>2490</v>
      </c>
      <c r="F48" s="557"/>
      <c r="G48" s="556">
        <v>2670</v>
      </c>
      <c r="I48" s="556">
        <v>2510</v>
      </c>
      <c r="K48" s="556">
        <v>2030</v>
      </c>
    </row>
    <row r="49" spans="1:12" ht="11.25" customHeight="1">
      <c r="A49" s="640" t="s">
        <v>586</v>
      </c>
      <c r="C49" s="556">
        <v>250</v>
      </c>
      <c r="D49" s="557"/>
      <c r="E49" s="556">
        <v>240</v>
      </c>
      <c r="F49" s="557" t="s">
        <v>561</v>
      </c>
      <c r="G49" s="556">
        <v>380</v>
      </c>
      <c r="H49" s="557" t="s">
        <v>561</v>
      </c>
      <c r="I49" s="556">
        <v>480</v>
      </c>
      <c r="J49" s="557" t="s">
        <v>561</v>
      </c>
      <c r="K49" s="556">
        <v>540</v>
      </c>
      <c r="L49" s="557" t="s">
        <v>561</v>
      </c>
    </row>
    <row r="50" spans="1:12" ht="11.25" customHeight="1">
      <c r="A50" s="640" t="s">
        <v>288</v>
      </c>
      <c r="C50" s="556">
        <v>5644</v>
      </c>
      <c r="D50" s="557"/>
      <c r="E50" s="556">
        <v>5200</v>
      </c>
      <c r="F50" s="557"/>
      <c r="G50" s="556">
        <v>6500</v>
      </c>
      <c r="H50" s="557"/>
      <c r="I50" s="556">
        <v>6535</v>
      </c>
      <c r="J50" s="557"/>
      <c r="K50" s="556">
        <v>6500</v>
      </c>
      <c r="L50" s="557" t="s">
        <v>561</v>
      </c>
    </row>
    <row r="51" spans="1:12" ht="11.25" customHeight="1">
      <c r="A51" s="640" t="s">
        <v>587</v>
      </c>
      <c r="C51" s="556">
        <v>5550</v>
      </c>
      <c r="D51" s="557"/>
      <c r="E51" s="556">
        <v>5100</v>
      </c>
      <c r="F51" s="557"/>
      <c r="G51" s="556">
        <v>5400</v>
      </c>
      <c r="H51" s="557" t="s">
        <v>542</v>
      </c>
      <c r="I51" s="556">
        <v>5400</v>
      </c>
      <c r="J51" s="557" t="s">
        <v>542</v>
      </c>
      <c r="K51" s="556">
        <v>5620</v>
      </c>
    </row>
    <row r="52" spans="1:12" ht="11.25" customHeight="1">
      <c r="A52" s="640" t="s">
        <v>315</v>
      </c>
      <c r="C52" s="556">
        <v>48700</v>
      </c>
      <c r="D52" s="557"/>
      <c r="E52" s="556">
        <v>44900</v>
      </c>
      <c r="F52" s="557"/>
      <c r="G52" s="556">
        <v>50000</v>
      </c>
      <c r="H52" s="557" t="s">
        <v>561</v>
      </c>
      <c r="I52" s="556">
        <v>53693</v>
      </c>
      <c r="J52" s="557" t="s">
        <v>542</v>
      </c>
      <c r="K52" s="556">
        <v>51633</v>
      </c>
      <c r="L52" s="557"/>
    </row>
    <row r="53" spans="1:12" ht="11.25" customHeight="1">
      <c r="A53" s="640" t="s">
        <v>588</v>
      </c>
      <c r="C53" s="556">
        <v>1280</v>
      </c>
      <c r="D53" s="557"/>
      <c r="E53" s="556">
        <v>1088</v>
      </c>
      <c r="F53" s="557" t="s">
        <v>542</v>
      </c>
      <c r="G53" s="556">
        <v>1330</v>
      </c>
      <c r="H53" s="557" t="s">
        <v>542</v>
      </c>
      <c r="I53" s="556">
        <v>1404</v>
      </c>
      <c r="J53" s="557" t="s">
        <v>542</v>
      </c>
      <c r="K53" s="556">
        <v>1610</v>
      </c>
      <c r="L53" s="557" t="s">
        <v>561</v>
      </c>
    </row>
    <row r="54" spans="1:12" ht="11.25" customHeight="1">
      <c r="A54" s="640" t="s">
        <v>589</v>
      </c>
      <c r="C54" s="556">
        <v>180</v>
      </c>
      <c r="D54" s="557"/>
      <c r="E54" s="556">
        <v>160</v>
      </c>
      <c r="G54" s="556">
        <v>180</v>
      </c>
      <c r="H54" s="557"/>
      <c r="I54" s="556">
        <v>180</v>
      </c>
      <c r="J54" s="557"/>
      <c r="K54" s="556">
        <v>180</v>
      </c>
    </row>
    <row r="55" spans="1:12" ht="11.25" customHeight="1">
      <c r="A55" s="640" t="s">
        <v>590</v>
      </c>
      <c r="C55" s="556">
        <v>411</v>
      </c>
      <c r="D55" s="557"/>
      <c r="E55" s="556">
        <v>254</v>
      </c>
      <c r="F55" s="557"/>
      <c r="G55" s="556">
        <v>366</v>
      </c>
      <c r="H55" s="557"/>
      <c r="I55" s="556">
        <v>257</v>
      </c>
      <c r="J55" s="557"/>
      <c r="K55" s="556">
        <v>199</v>
      </c>
    </row>
    <row r="56" spans="1:12" ht="11.25" customHeight="1">
      <c r="A56" s="640" t="s">
        <v>591</v>
      </c>
      <c r="C56" s="556">
        <v>8700</v>
      </c>
      <c r="D56" s="557"/>
      <c r="E56" s="556">
        <v>9800</v>
      </c>
      <c r="F56" s="557"/>
      <c r="G56" s="556">
        <v>9200</v>
      </c>
      <c r="H56" s="557" t="s">
        <v>542</v>
      </c>
      <c r="I56" s="556">
        <v>9800</v>
      </c>
      <c r="J56" s="557" t="s">
        <v>542</v>
      </c>
      <c r="K56" s="556">
        <v>10300</v>
      </c>
    </row>
    <row r="57" spans="1:12" ht="11.25" customHeight="1">
      <c r="A57" s="640" t="s">
        <v>592</v>
      </c>
      <c r="C57" s="556">
        <v>128</v>
      </c>
      <c r="D57" s="557"/>
      <c r="E57" s="556">
        <v>97</v>
      </c>
      <c r="F57" s="557"/>
      <c r="G57" s="556">
        <v>92</v>
      </c>
      <c r="H57" s="557"/>
      <c r="I57" s="556">
        <v>114</v>
      </c>
      <c r="J57" s="557"/>
      <c r="K57" s="556">
        <v>104</v>
      </c>
      <c r="L57" s="557"/>
    </row>
    <row r="58" spans="1:12" ht="11.25" customHeight="1">
      <c r="A58" s="640" t="s">
        <v>593</v>
      </c>
      <c r="C58" s="556">
        <v>1430</v>
      </c>
      <c r="D58" s="557"/>
      <c r="E58" s="556">
        <v>1470</v>
      </c>
      <c r="F58" s="557"/>
      <c r="G58" s="556">
        <v>1500</v>
      </c>
      <c r="H58" s="557"/>
      <c r="I58" s="556">
        <v>1500</v>
      </c>
      <c r="J58" s="557"/>
      <c r="K58" s="556">
        <v>1400</v>
      </c>
    </row>
    <row r="59" spans="1:12" ht="11.25" customHeight="1">
      <c r="A59" s="640" t="s">
        <v>316</v>
      </c>
      <c r="C59" s="556">
        <v>16500</v>
      </c>
      <c r="D59" s="557"/>
      <c r="E59" s="556">
        <v>16700</v>
      </c>
      <c r="F59" s="557"/>
      <c r="G59" s="556">
        <v>16900</v>
      </c>
      <c r="H59" s="557" t="s">
        <v>561</v>
      </c>
      <c r="I59" s="556">
        <v>18000</v>
      </c>
      <c r="J59" s="557" t="s">
        <v>568</v>
      </c>
      <c r="K59" s="556">
        <v>16900</v>
      </c>
      <c r="L59" s="557" t="s">
        <v>561</v>
      </c>
    </row>
    <row r="60" spans="1:12" ht="11.25" customHeight="1">
      <c r="A60" s="640" t="s">
        <v>764</v>
      </c>
      <c r="C60" s="556">
        <v>95</v>
      </c>
      <c r="D60" s="557"/>
      <c r="E60" s="556">
        <v>90</v>
      </c>
      <c r="F60" s="557"/>
      <c r="G60" s="556">
        <v>100</v>
      </c>
      <c r="H60" s="557"/>
      <c r="I60" s="556">
        <v>100</v>
      </c>
      <c r="J60" s="557"/>
      <c r="K60" s="556">
        <v>110</v>
      </c>
      <c r="L60" s="557"/>
    </row>
    <row r="61" spans="1:12" ht="11.25" customHeight="1">
      <c r="A61" s="640" t="s">
        <v>594</v>
      </c>
      <c r="C61" s="556">
        <v>540</v>
      </c>
      <c r="E61" s="556">
        <v>530</v>
      </c>
      <c r="F61" s="557" t="s">
        <v>561</v>
      </c>
      <c r="G61" s="556">
        <v>550</v>
      </c>
      <c r="H61" s="557" t="s">
        <v>561</v>
      </c>
      <c r="I61" s="556">
        <v>570</v>
      </c>
      <c r="J61" s="557" t="s">
        <v>561</v>
      </c>
      <c r="K61" s="556">
        <v>542</v>
      </c>
      <c r="L61" s="557" t="s">
        <v>561</v>
      </c>
    </row>
    <row r="62" spans="1:12" ht="11.25" customHeight="1">
      <c r="A62" s="640" t="s">
        <v>241</v>
      </c>
      <c r="C62" s="556">
        <v>2681</v>
      </c>
      <c r="D62" s="557"/>
      <c r="E62" s="556">
        <v>2446</v>
      </c>
      <c r="F62" s="557"/>
      <c r="G62" s="556">
        <v>2701</v>
      </c>
      <c r="H62" s="557"/>
      <c r="I62" s="556">
        <v>2493</v>
      </c>
      <c r="J62" s="557" t="s">
        <v>542</v>
      </c>
      <c r="K62" s="556">
        <v>2673</v>
      </c>
    </row>
    <row r="63" spans="1:12" ht="11.25" customHeight="1">
      <c r="A63" s="640" t="s">
        <v>289</v>
      </c>
      <c r="C63" s="556">
        <v>34185</v>
      </c>
      <c r="D63" s="557"/>
      <c r="E63" s="556">
        <v>35485</v>
      </c>
      <c r="F63" s="557"/>
      <c r="G63" s="556">
        <v>34966</v>
      </c>
      <c r="H63" s="557"/>
      <c r="I63" s="556">
        <v>32900</v>
      </c>
      <c r="J63" s="557" t="s">
        <v>542</v>
      </c>
      <c r="K63" s="556">
        <v>30000</v>
      </c>
      <c r="L63" s="557" t="s">
        <v>561</v>
      </c>
    </row>
    <row r="64" spans="1:12" ht="11.25" customHeight="1">
      <c r="A64" s="640" t="s">
        <v>595</v>
      </c>
      <c r="C64" s="556">
        <v>5900</v>
      </c>
      <c r="D64" s="557"/>
      <c r="E64" s="556">
        <v>6700</v>
      </c>
      <c r="F64" s="557"/>
      <c r="G64" s="556">
        <v>7200</v>
      </c>
      <c r="H64" s="557" t="s">
        <v>568</v>
      </c>
      <c r="I64" s="556">
        <v>7400</v>
      </c>
      <c r="J64" s="557" t="s">
        <v>568</v>
      </c>
      <c r="K64" s="556">
        <v>7600</v>
      </c>
      <c r="L64" s="557" t="s">
        <v>561</v>
      </c>
    </row>
    <row r="65" spans="1:12" ht="11.25" customHeight="1">
      <c r="A65" s="640" t="s">
        <v>317</v>
      </c>
      <c r="C65" s="556">
        <v>7219</v>
      </c>
      <c r="D65" s="557" t="s">
        <v>542</v>
      </c>
      <c r="E65" s="556">
        <v>6712</v>
      </c>
      <c r="F65" s="557" t="s">
        <v>542</v>
      </c>
      <c r="G65" s="556">
        <v>7088</v>
      </c>
      <c r="H65" s="557" t="s">
        <v>542</v>
      </c>
      <c r="I65" s="556">
        <v>6946</v>
      </c>
      <c r="J65" s="557" t="s">
        <v>542</v>
      </c>
      <c r="K65" s="556">
        <v>7000</v>
      </c>
      <c r="L65" s="557" t="s">
        <v>561</v>
      </c>
    </row>
    <row r="66" spans="1:12" ht="11.25" customHeight="1">
      <c r="A66" s="640" t="s">
        <v>596</v>
      </c>
      <c r="C66" s="556">
        <v>310</v>
      </c>
      <c r="E66" s="556">
        <v>310</v>
      </c>
      <c r="G66" s="556">
        <v>310</v>
      </c>
      <c r="I66" s="556">
        <v>310</v>
      </c>
      <c r="K66" s="556">
        <v>310</v>
      </c>
    </row>
    <row r="67" spans="1:12" ht="11.25" customHeight="1">
      <c r="A67" s="640" t="s">
        <v>597</v>
      </c>
      <c r="C67" s="556">
        <v>2890</v>
      </c>
      <c r="D67" s="557"/>
      <c r="E67" s="556">
        <v>3230</v>
      </c>
      <c r="F67" s="557" t="s">
        <v>561</v>
      </c>
      <c r="G67" s="556">
        <v>4081</v>
      </c>
      <c r="H67" s="557" t="s">
        <v>542</v>
      </c>
      <c r="I67" s="556">
        <v>4330</v>
      </c>
      <c r="J67" s="557" t="s">
        <v>568</v>
      </c>
      <c r="K67" s="556">
        <v>4550</v>
      </c>
      <c r="L67" s="557" t="s">
        <v>561</v>
      </c>
    </row>
    <row r="68" spans="1:12" ht="11.25" customHeight="1">
      <c r="A68" s="640" t="s">
        <v>598</v>
      </c>
      <c r="C68" s="556">
        <v>1500</v>
      </c>
      <c r="E68" s="556">
        <v>1600</v>
      </c>
      <c r="F68" s="557" t="s">
        <v>561</v>
      </c>
      <c r="G68" s="556">
        <v>1600</v>
      </c>
      <c r="H68" s="557" t="s">
        <v>561</v>
      </c>
      <c r="I68" s="556">
        <v>1700</v>
      </c>
      <c r="J68" s="557" t="s">
        <v>561</v>
      </c>
      <c r="K68" s="556">
        <v>1800</v>
      </c>
      <c r="L68" s="557" t="s">
        <v>561</v>
      </c>
    </row>
    <row r="69" spans="1:12" ht="11.25" customHeight="1">
      <c r="A69" s="640" t="s">
        <v>599</v>
      </c>
      <c r="C69" s="556">
        <v>410</v>
      </c>
      <c r="D69" s="557"/>
      <c r="E69" s="556">
        <v>400</v>
      </c>
      <c r="F69" s="557"/>
      <c r="G69" s="556">
        <v>520</v>
      </c>
      <c r="H69" s="557"/>
      <c r="I69" s="556">
        <v>570</v>
      </c>
      <c r="J69" s="557"/>
      <c r="K69" s="556">
        <v>1100</v>
      </c>
      <c r="L69" s="557"/>
    </row>
    <row r="70" spans="1:12" ht="11.25" customHeight="1">
      <c r="A70" s="640" t="s">
        <v>600</v>
      </c>
      <c r="C70" s="556">
        <v>300</v>
      </c>
      <c r="D70" s="557"/>
      <c r="E70" s="556">
        <v>300</v>
      </c>
      <c r="F70" s="557"/>
      <c r="G70" s="556">
        <v>300</v>
      </c>
      <c r="H70" s="557"/>
      <c r="I70" s="556">
        <v>300</v>
      </c>
      <c r="J70" s="557"/>
      <c r="K70" s="556">
        <v>300</v>
      </c>
    </row>
    <row r="71" spans="1:12" ht="11.25" customHeight="1">
      <c r="A71" s="640" t="s">
        <v>601</v>
      </c>
      <c r="C71" s="556">
        <v>1800</v>
      </c>
      <c r="D71" s="557"/>
      <c r="E71" s="556">
        <v>1490</v>
      </c>
      <c r="F71" s="557"/>
      <c r="G71" s="556">
        <v>1650</v>
      </c>
      <c r="H71" s="557" t="s">
        <v>561</v>
      </c>
      <c r="I71" s="556">
        <v>1700</v>
      </c>
      <c r="J71" s="557"/>
      <c r="K71" s="556">
        <v>1855</v>
      </c>
      <c r="L71" s="557"/>
    </row>
    <row r="72" spans="1:12" ht="11.25" customHeight="1">
      <c r="A72" s="640" t="s">
        <v>602</v>
      </c>
      <c r="C72" s="556">
        <v>1600</v>
      </c>
      <c r="D72" s="557"/>
      <c r="E72" s="556">
        <v>1500</v>
      </c>
      <c r="F72" s="557" t="s">
        <v>561</v>
      </c>
      <c r="G72" s="556">
        <v>1500</v>
      </c>
      <c r="H72" s="557" t="s">
        <v>561</v>
      </c>
      <c r="I72" s="556">
        <v>1600</v>
      </c>
      <c r="J72" s="557" t="s">
        <v>561</v>
      </c>
      <c r="K72" s="556">
        <v>1600</v>
      </c>
      <c r="L72" s="557" t="s">
        <v>561</v>
      </c>
    </row>
    <row r="73" spans="1:12" ht="11.25" customHeight="1">
      <c r="A73" s="640" t="s">
        <v>603</v>
      </c>
      <c r="C73" s="556">
        <v>2500</v>
      </c>
      <c r="D73" s="557"/>
      <c r="E73" s="556">
        <v>2300</v>
      </c>
      <c r="F73" s="557"/>
      <c r="G73" s="556">
        <v>2500</v>
      </c>
      <c r="H73" s="557"/>
      <c r="I73" s="556">
        <v>2400</v>
      </c>
      <c r="J73" s="557"/>
      <c r="K73" s="556">
        <v>2300</v>
      </c>
    </row>
    <row r="74" spans="1:12" ht="11.25" customHeight="1">
      <c r="A74" s="640" t="s">
        <v>604</v>
      </c>
      <c r="C74" s="556">
        <v>334000</v>
      </c>
      <c r="D74" s="557"/>
      <c r="E74" s="556">
        <v>290000</v>
      </c>
      <c r="F74" s="557"/>
      <c r="G74" s="556">
        <v>350000</v>
      </c>
      <c r="H74" s="557"/>
      <c r="I74" s="556">
        <v>380000</v>
      </c>
      <c r="J74" s="557"/>
      <c r="K74" s="556">
        <v>420000</v>
      </c>
    </row>
    <row r="75" spans="1:12" ht="11.25" customHeight="1">
      <c r="A75" s="640" t="s">
        <v>502</v>
      </c>
      <c r="C75" s="556">
        <v>71900</v>
      </c>
      <c r="D75" s="557"/>
      <c r="E75" s="556">
        <v>62700</v>
      </c>
      <c r="F75" s="557" t="s">
        <v>561</v>
      </c>
      <c r="G75" s="556">
        <v>65000</v>
      </c>
      <c r="H75" s="557" t="s">
        <v>561</v>
      </c>
      <c r="I75" s="556">
        <v>64790</v>
      </c>
      <c r="J75" s="557" t="s">
        <v>542</v>
      </c>
      <c r="K75" s="556">
        <v>66924</v>
      </c>
      <c r="L75" s="557"/>
    </row>
    <row r="76" spans="1:12" ht="11.25" customHeight="1">
      <c r="A76" s="640" t="s">
        <v>605</v>
      </c>
      <c r="C76" s="556">
        <v>60400</v>
      </c>
      <c r="D76" s="557"/>
      <c r="E76" s="556">
        <v>68300</v>
      </c>
      <c r="F76" s="557"/>
      <c r="G76" s="556">
        <v>62700</v>
      </c>
      <c r="H76" s="557" t="s">
        <v>542</v>
      </c>
      <c r="I76" s="556">
        <v>64200</v>
      </c>
      <c r="J76" s="557" t="s">
        <v>542</v>
      </c>
      <c r="K76" s="556">
        <v>71400</v>
      </c>
    </row>
    <row r="77" spans="1:12" ht="11.25" customHeight="1">
      <c r="A77" s="640" t="s">
        <v>606</v>
      </c>
      <c r="C77" s="556">
        <v>27000</v>
      </c>
      <c r="D77" s="557" t="s">
        <v>561</v>
      </c>
      <c r="E77" s="556">
        <v>27750</v>
      </c>
      <c r="F77" s="557" t="s">
        <v>542</v>
      </c>
      <c r="G77" s="556">
        <v>31520</v>
      </c>
      <c r="H77" s="557" t="s">
        <v>542</v>
      </c>
      <c r="I77" s="556">
        <v>32400</v>
      </c>
      <c r="J77" s="557"/>
      <c r="K77" s="556">
        <v>35500</v>
      </c>
      <c r="L77" s="557" t="s">
        <v>561</v>
      </c>
    </row>
    <row r="78" spans="1:12" ht="11.25" customHeight="1">
      <c r="A78" s="640" t="s">
        <v>607</v>
      </c>
      <c r="C78" s="556">
        <v>3700</v>
      </c>
      <c r="D78" s="557"/>
      <c r="E78" s="556">
        <v>3400</v>
      </c>
      <c r="F78" s="557"/>
      <c r="G78" s="556">
        <v>3500</v>
      </c>
      <c r="H78" s="557"/>
      <c r="I78" s="556">
        <v>3600</v>
      </c>
      <c r="J78" s="557"/>
      <c r="K78" s="556">
        <v>3800</v>
      </c>
    </row>
    <row r="79" spans="1:12" ht="11.25" customHeight="1">
      <c r="A79" s="640" t="s">
        <v>608</v>
      </c>
      <c r="C79" s="556">
        <v>5000</v>
      </c>
      <c r="D79" s="557" t="s">
        <v>561</v>
      </c>
      <c r="E79" s="556">
        <v>3670</v>
      </c>
      <c r="F79" s="557" t="s">
        <v>542</v>
      </c>
      <c r="G79" s="556">
        <v>3790</v>
      </c>
      <c r="H79" s="557" t="s">
        <v>542</v>
      </c>
      <c r="I79" s="556">
        <v>3700</v>
      </c>
      <c r="J79" s="557" t="s">
        <v>568</v>
      </c>
      <c r="K79" s="556">
        <v>3780</v>
      </c>
      <c r="L79" s="557" t="s">
        <v>561</v>
      </c>
    </row>
    <row r="80" spans="1:12" ht="11.25" customHeight="1">
      <c r="A80" s="640" t="s">
        <v>537</v>
      </c>
      <c r="C80" s="556">
        <v>19482</v>
      </c>
      <c r="D80" s="557"/>
      <c r="E80" s="556">
        <v>19818</v>
      </c>
      <c r="F80" s="557"/>
      <c r="G80" s="556">
        <v>21445</v>
      </c>
      <c r="H80" s="557"/>
      <c r="I80" s="556">
        <v>21382</v>
      </c>
      <c r="J80" s="557"/>
      <c r="K80" s="556">
        <v>18744</v>
      </c>
      <c r="L80" s="557"/>
    </row>
    <row r="81" spans="1:12" ht="11.25" customHeight="1">
      <c r="A81" s="640" t="s">
        <v>290</v>
      </c>
      <c r="C81" s="556">
        <v>759</v>
      </c>
      <c r="E81" s="556">
        <v>940</v>
      </c>
      <c r="G81" s="556">
        <v>979</v>
      </c>
      <c r="I81" s="556">
        <v>957</v>
      </c>
      <c r="K81" s="556">
        <v>963</v>
      </c>
    </row>
    <row r="82" spans="1:12" ht="11.25" customHeight="1">
      <c r="A82" s="640" t="s">
        <v>291</v>
      </c>
      <c r="C82" s="556">
        <v>53462</v>
      </c>
      <c r="E82" s="556">
        <v>50905</v>
      </c>
      <c r="G82" s="556">
        <v>50083</v>
      </c>
      <c r="I82" s="556">
        <v>53207</v>
      </c>
      <c r="J82" s="557" t="s">
        <v>542</v>
      </c>
      <c r="K82" s="556">
        <v>47656</v>
      </c>
      <c r="L82" s="557"/>
    </row>
    <row r="83" spans="1:12" ht="11.25" customHeight="1">
      <c r="A83" s="640" t="s">
        <v>609</v>
      </c>
      <c r="C83" s="556">
        <v>3470</v>
      </c>
      <c r="D83" s="557"/>
      <c r="E83" s="556">
        <v>3377</v>
      </c>
      <c r="F83" s="557" t="s">
        <v>542</v>
      </c>
      <c r="G83" s="556">
        <v>3952</v>
      </c>
      <c r="H83" s="557" t="s">
        <v>542</v>
      </c>
      <c r="I83" s="556">
        <v>3760</v>
      </c>
      <c r="J83" s="557" t="s">
        <v>568</v>
      </c>
      <c r="K83" s="556">
        <v>3870</v>
      </c>
      <c r="L83" s="557" t="s">
        <v>561</v>
      </c>
    </row>
    <row r="84" spans="1:12" ht="11.25" customHeight="1">
      <c r="A84" s="640" t="s">
        <v>610</v>
      </c>
      <c r="C84" s="556">
        <v>10268</v>
      </c>
      <c r="D84" s="557"/>
      <c r="E84" s="556">
        <v>10962</v>
      </c>
      <c r="F84" s="557"/>
      <c r="G84" s="556">
        <v>12313</v>
      </c>
      <c r="H84" s="557"/>
      <c r="I84" s="556">
        <v>12099</v>
      </c>
      <c r="J84" s="557" t="s">
        <v>542</v>
      </c>
      <c r="K84" s="556">
        <v>12242</v>
      </c>
      <c r="L84" s="557"/>
    </row>
    <row r="85" spans="1:12" ht="11.25" customHeight="1">
      <c r="A85" s="640" t="s">
        <v>611</v>
      </c>
      <c r="C85" s="556">
        <v>6163</v>
      </c>
      <c r="D85" s="557"/>
      <c r="E85" s="556">
        <v>7474</v>
      </c>
      <c r="F85" s="557"/>
      <c r="G85" s="556">
        <v>9248</v>
      </c>
      <c r="H85" s="557"/>
      <c r="I85" s="556">
        <v>9754</v>
      </c>
      <c r="J85" s="557" t="s">
        <v>542</v>
      </c>
      <c r="K85" s="556">
        <v>9616</v>
      </c>
      <c r="L85" s="557"/>
    </row>
    <row r="86" spans="1:12" ht="11.25" customHeight="1">
      <c r="A86" s="640" t="s">
        <v>612</v>
      </c>
      <c r="C86" s="556">
        <v>5600</v>
      </c>
      <c r="D86" s="557"/>
      <c r="E86" s="556">
        <v>5690</v>
      </c>
      <c r="F86" s="557"/>
      <c r="G86" s="556">
        <v>5960</v>
      </c>
      <c r="H86" s="557"/>
      <c r="I86" s="556">
        <v>6551</v>
      </c>
      <c r="J86" s="557" t="s">
        <v>542</v>
      </c>
      <c r="K86" s="556">
        <v>6600</v>
      </c>
      <c r="L86" s="557" t="s">
        <v>561</v>
      </c>
    </row>
    <row r="87" spans="1:12" ht="11.25" customHeight="1">
      <c r="A87" s="640" t="s">
        <v>292</v>
      </c>
      <c r="C87" s="556">
        <v>50635</v>
      </c>
      <c r="D87" s="557"/>
      <c r="E87" s="556">
        <v>47518</v>
      </c>
      <c r="F87" s="557"/>
      <c r="G87" s="556">
        <v>49864</v>
      </c>
      <c r="H87" s="557"/>
      <c r="I87" s="556">
        <v>51062</v>
      </c>
      <c r="J87" s="557"/>
      <c r="K87" s="556">
        <v>51116</v>
      </c>
      <c r="L87" s="557"/>
    </row>
    <row r="88" spans="1:12" ht="11.25" customHeight="1">
      <c r="A88" s="640" t="s">
        <v>613</v>
      </c>
      <c r="C88" s="556">
        <v>816</v>
      </c>
      <c r="E88" s="556">
        <v>815</v>
      </c>
      <c r="G88" s="556">
        <v>848</v>
      </c>
      <c r="I88" s="556">
        <v>763</v>
      </c>
      <c r="K88" s="556">
        <v>794</v>
      </c>
    </row>
    <row r="89" spans="1:12" ht="11.25" customHeight="1">
      <c r="A89" s="640" t="s">
        <v>614</v>
      </c>
      <c r="C89" s="556">
        <v>3900</v>
      </c>
      <c r="D89" s="557"/>
      <c r="E89" s="556">
        <v>3400</v>
      </c>
      <c r="F89" s="557"/>
      <c r="G89" s="556">
        <v>3740</v>
      </c>
      <c r="H89" s="557" t="s">
        <v>542</v>
      </c>
      <c r="I89" s="556">
        <v>3850</v>
      </c>
      <c r="J89" s="557" t="s">
        <v>542</v>
      </c>
      <c r="K89" s="556">
        <v>4100</v>
      </c>
    </row>
    <row r="90" spans="1:12" ht="11.25" customHeight="1">
      <c r="A90" s="640" t="s">
        <v>615</v>
      </c>
      <c r="C90" s="556">
        <v>1947</v>
      </c>
      <c r="D90" s="557"/>
      <c r="E90" s="556">
        <v>1874</v>
      </c>
      <c r="F90" s="557"/>
      <c r="G90" s="556">
        <v>2491</v>
      </c>
      <c r="H90" s="557"/>
      <c r="I90" s="556">
        <v>2667</v>
      </c>
      <c r="J90" s="557"/>
      <c r="K90" s="556">
        <v>2969</v>
      </c>
    </row>
    <row r="91" spans="1:12" ht="11.25" customHeight="1">
      <c r="A91" s="640" t="s">
        <v>616</v>
      </c>
      <c r="C91" s="556">
        <v>5208</v>
      </c>
      <c r="D91" s="557"/>
      <c r="E91" s="556">
        <v>5400</v>
      </c>
      <c r="F91" s="557" t="s">
        <v>542</v>
      </c>
      <c r="G91" s="556">
        <v>5400</v>
      </c>
      <c r="H91" s="557" t="s">
        <v>542</v>
      </c>
      <c r="I91" s="556">
        <v>6850</v>
      </c>
      <c r="J91" s="557" t="s">
        <v>542</v>
      </c>
      <c r="K91" s="556">
        <v>7100</v>
      </c>
      <c r="L91" s="557" t="s">
        <v>561</v>
      </c>
    </row>
    <row r="92" spans="1:12" ht="11.25" customHeight="1">
      <c r="A92" s="640" t="s">
        <v>617</v>
      </c>
      <c r="C92" s="556">
        <v>1100</v>
      </c>
      <c r="D92" s="557"/>
      <c r="E92" s="556">
        <v>1100</v>
      </c>
      <c r="F92" s="557"/>
      <c r="G92" s="556">
        <v>1200</v>
      </c>
      <c r="H92" s="557"/>
      <c r="I92" s="556">
        <v>1250</v>
      </c>
      <c r="J92" s="557"/>
      <c r="K92" s="556">
        <v>1150</v>
      </c>
    </row>
    <row r="93" spans="1:12" ht="11.25" customHeight="1">
      <c r="A93" s="640" t="s">
        <v>618</v>
      </c>
      <c r="C93" s="556">
        <v>3203</v>
      </c>
      <c r="D93" s="557"/>
      <c r="E93" s="556">
        <v>1958</v>
      </c>
      <c r="F93" s="557"/>
      <c r="G93" s="556">
        <v>1948</v>
      </c>
      <c r="H93" s="557" t="s">
        <v>542</v>
      </c>
      <c r="I93" s="556">
        <v>2124</v>
      </c>
      <c r="J93" s="557"/>
      <c r="K93" s="556">
        <v>2150</v>
      </c>
      <c r="L93" s="557" t="s">
        <v>561</v>
      </c>
    </row>
    <row r="94" spans="1:12" ht="11.25" customHeight="1">
      <c r="A94" s="640" t="s">
        <v>619</v>
      </c>
      <c r="C94" s="556">
        <v>343</v>
      </c>
      <c r="D94" s="557"/>
      <c r="E94" s="556">
        <v>416</v>
      </c>
      <c r="F94" s="557"/>
      <c r="G94" s="556">
        <v>535</v>
      </c>
      <c r="H94" s="557"/>
      <c r="I94" s="556">
        <v>474</v>
      </c>
      <c r="J94" s="557"/>
      <c r="K94" s="556">
        <v>501</v>
      </c>
    </row>
    <row r="95" spans="1:12" ht="11.25" customHeight="1">
      <c r="A95" s="640" t="s">
        <v>620</v>
      </c>
      <c r="C95" s="556">
        <v>3600</v>
      </c>
      <c r="D95" s="557"/>
      <c r="E95" s="556">
        <v>3621</v>
      </c>
      <c r="F95" s="557" t="s">
        <v>542</v>
      </c>
      <c r="G95" s="556">
        <v>5176</v>
      </c>
      <c r="H95" s="557" t="s">
        <v>542</v>
      </c>
      <c r="I95" s="556">
        <v>6100</v>
      </c>
      <c r="J95" s="557" t="s">
        <v>568</v>
      </c>
      <c r="K95" s="556">
        <v>6400</v>
      </c>
      <c r="L95" s="557" t="s">
        <v>561</v>
      </c>
    </row>
    <row r="96" spans="1:12" ht="11.25" customHeight="1">
      <c r="A96" s="640" t="s">
        <v>621</v>
      </c>
      <c r="C96" s="556">
        <v>1223</v>
      </c>
      <c r="E96" s="556">
        <v>1221</v>
      </c>
      <c r="G96" s="556">
        <v>1354</v>
      </c>
      <c r="I96" s="556">
        <v>1463</v>
      </c>
      <c r="K96" s="556">
        <v>1088</v>
      </c>
    </row>
    <row r="97" spans="1:12" ht="11.25" customHeight="1">
      <c r="A97" s="640" t="s">
        <v>622</v>
      </c>
      <c r="C97" s="556">
        <v>1201</v>
      </c>
      <c r="D97" s="557"/>
      <c r="E97" s="556">
        <v>1131</v>
      </c>
      <c r="F97" s="557"/>
      <c r="G97" s="556">
        <v>1204</v>
      </c>
      <c r="H97" s="557"/>
      <c r="I97" s="556">
        <v>1200</v>
      </c>
      <c r="J97" s="557" t="s">
        <v>561</v>
      </c>
      <c r="K97" s="556">
        <v>800</v>
      </c>
      <c r="L97" s="557" t="s">
        <v>561</v>
      </c>
    </row>
    <row r="98" spans="1:12" ht="11.25" customHeight="1">
      <c r="A98" s="640" t="s">
        <v>623</v>
      </c>
      <c r="C98" s="556">
        <v>120</v>
      </c>
      <c r="D98" s="557"/>
      <c r="E98" s="556">
        <v>150</v>
      </c>
      <c r="F98" s="557" t="s">
        <v>561</v>
      </c>
      <c r="G98" s="556">
        <v>150</v>
      </c>
      <c r="H98" s="557" t="s">
        <v>561</v>
      </c>
      <c r="I98" s="556">
        <v>150</v>
      </c>
      <c r="J98" s="557" t="s">
        <v>561</v>
      </c>
      <c r="K98" s="556">
        <v>150</v>
      </c>
      <c r="L98" s="557" t="s">
        <v>561</v>
      </c>
    </row>
    <row r="99" spans="1:12" ht="11.25" customHeight="1">
      <c r="A99" s="640" t="s">
        <v>624</v>
      </c>
      <c r="C99" s="556">
        <v>243</v>
      </c>
      <c r="E99" s="556">
        <v>530</v>
      </c>
      <c r="F99" s="557" t="s">
        <v>561</v>
      </c>
      <c r="G99" s="556">
        <v>510</v>
      </c>
      <c r="H99" s="557" t="s">
        <v>561</v>
      </c>
      <c r="I99" s="556">
        <v>520</v>
      </c>
      <c r="J99" s="557" t="s">
        <v>561</v>
      </c>
      <c r="K99" s="556">
        <v>390</v>
      </c>
      <c r="L99" s="557" t="s">
        <v>561</v>
      </c>
    </row>
    <row r="100" spans="1:12" ht="11.25" customHeight="1">
      <c r="A100" s="640" t="s">
        <v>625</v>
      </c>
      <c r="C100" s="556">
        <v>16102</v>
      </c>
      <c r="D100" s="557"/>
      <c r="E100" s="556">
        <v>19936</v>
      </c>
      <c r="F100" s="557"/>
      <c r="G100" s="556">
        <v>19961</v>
      </c>
      <c r="H100" s="557"/>
      <c r="I100" s="556">
        <v>19856</v>
      </c>
      <c r="J100" s="557"/>
      <c r="K100" s="556">
        <v>23191</v>
      </c>
      <c r="L100" s="557"/>
    </row>
    <row r="101" spans="1:12" ht="11.25" customHeight="1">
      <c r="A101" s="640" t="s">
        <v>765</v>
      </c>
      <c r="C101" s="556">
        <v>1000</v>
      </c>
      <c r="D101" s="557"/>
      <c r="E101" s="556">
        <v>1500</v>
      </c>
      <c r="F101" s="557"/>
      <c r="G101" s="556">
        <v>1700</v>
      </c>
      <c r="H101" s="557"/>
      <c r="I101" s="556">
        <v>1800</v>
      </c>
      <c r="J101" s="557"/>
      <c r="K101" s="556">
        <v>1800</v>
      </c>
      <c r="L101" s="557"/>
    </row>
    <row r="102" spans="1:12" ht="11.25" customHeight="1">
      <c r="A102" s="640" t="s">
        <v>626</v>
      </c>
      <c r="C102" s="556">
        <v>150</v>
      </c>
      <c r="E102" s="556">
        <v>150</v>
      </c>
      <c r="G102" s="556">
        <v>150</v>
      </c>
      <c r="I102" s="556">
        <v>150</v>
      </c>
      <c r="K102" s="556">
        <v>150</v>
      </c>
    </row>
    <row r="103" spans="1:12" ht="11.25" customHeight="1">
      <c r="A103" s="640" t="s">
        <v>627</v>
      </c>
      <c r="C103" s="556">
        <v>1000</v>
      </c>
      <c r="D103" s="557"/>
      <c r="E103" s="556">
        <v>1000</v>
      </c>
      <c r="F103" s="557" t="s">
        <v>561</v>
      </c>
      <c r="G103" s="556">
        <v>1000</v>
      </c>
      <c r="H103" s="557" t="s">
        <v>561</v>
      </c>
      <c r="I103" s="556">
        <v>1000</v>
      </c>
      <c r="J103" s="557" t="s">
        <v>561</v>
      </c>
      <c r="K103" s="556">
        <v>1000</v>
      </c>
      <c r="L103" s="557" t="s">
        <v>561</v>
      </c>
    </row>
    <row r="104" spans="1:12" ht="11.25" customHeight="1">
      <c r="A104" s="640" t="s">
        <v>293</v>
      </c>
      <c r="C104" s="556">
        <v>45163</v>
      </c>
      <c r="D104" s="557"/>
      <c r="E104" s="556">
        <v>47833</v>
      </c>
      <c r="F104" s="557"/>
      <c r="G104" s="556">
        <v>51559</v>
      </c>
      <c r="H104" s="557"/>
      <c r="I104" s="556">
        <v>49800</v>
      </c>
      <c r="J104" s="557" t="s">
        <v>561</v>
      </c>
      <c r="K104" s="556">
        <v>48000</v>
      </c>
      <c r="L104" s="557" t="s">
        <v>561</v>
      </c>
    </row>
    <row r="105" spans="1:12" ht="11.25" customHeight="1">
      <c r="A105" s="640" t="s">
        <v>628</v>
      </c>
      <c r="C105" s="556">
        <v>1329</v>
      </c>
      <c r="D105" s="557"/>
      <c r="E105" s="556">
        <v>1235</v>
      </c>
      <c r="F105" s="557"/>
      <c r="G105" s="556">
        <v>1243</v>
      </c>
      <c r="H105" s="557"/>
      <c r="I105" s="556">
        <v>1200</v>
      </c>
      <c r="J105" s="557" t="s">
        <v>561</v>
      </c>
      <c r="K105" s="556">
        <v>1200</v>
      </c>
      <c r="L105" s="557" t="s">
        <v>561</v>
      </c>
    </row>
    <row r="106" spans="1:12" ht="11.25" customHeight="1">
      <c r="A106" s="640" t="s">
        <v>629</v>
      </c>
      <c r="C106" s="556">
        <v>1098</v>
      </c>
      <c r="E106" s="556">
        <v>1182</v>
      </c>
      <c r="F106" s="557"/>
      <c r="G106" s="556">
        <v>1293</v>
      </c>
      <c r="H106" s="557"/>
      <c r="I106" s="556">
        <v>1374</v>
      </c>
      <c r="J106" s="557" t="s">
        <v>542</v>
      </c>
      <c r="K106" s="556">
        <v>1714</v>
      </c>
      <c r="L106" s="557"/>
    </row>
    <row r="107" spans="1:12" ht="11.25" customHeight="1">
      <c r="A107" s="640" t="s">
        <v>630</v>
      </c>
      <c r="C107" s="556">
        <v>13691</v>
      </c>
      <c r="D107" s="557"/>
      <c r="E107" s="556">
        <v>12224</v>
      </c>
      <c r="F107" s="557" t="s">
        <v>542</v>
      </c>
      <c r="G107" s="556">
        <v>13983</v>
      </c>
      <c r="H107" s="557" t="s">
        <v>542</v>
      </c>
      <c r="I107" s="556">
        <v>12500</v>
      </c>
      <c r="J107" s="557" t="s">
        <v>568</v>
      </c>
      <c r="K107" s="556">
        <v>12600</v>
      </c>
      <c r="L107" s="557" t="s">
        <v>561</v>
      </c>
    </row>
    <row r="108" spans="1:12" ht="11.25" customHeight="1">
      <c r="A108" s="640" t="s">
        <v>631</v>
      </c>
      <c r="C108" s="556">
        <v>2700</v>
      </c>
      <c r="D108" s="557"/>
      <c r="E108" s="556">
        <v>2700</v>
      </c>
      <c r="F108" s="557"/>
      <c r="G108" s="556">
        <v>2700</v>
      </c>
      <c r="H108" s="557"/>
      <c r="I108" s="556">
        <v>2800</v>
      </c>
      <c r="J108" s="557"/>
      <c r="K108" s="556">
        <v>2900</v>
      </c>
      <c r="L108" s="557"/>
    </row>
    <row r="109" spans="1:12" ht="11.25" customHeight="1">
      <c r="A109" s="640" t="s">
        <v>632</v>
      </c>
      <c r="C109" s="556">
        <v>1000</v>
      </c>
      <c r="D109" s="557"/>
      <c r="E109" s="556">
        <v>901</v>
      </c>
      <c r="F109" s="557"/>
      <c r="G109" s="556">
        <v>970</v>
      </c>
      <c r="H109" s="557"/>
      <c r="I109" s="556">
        <v>900</v>
      </c>
      <c r="J109" s="557"/>
      <c r="K109" s="556">
        <v>900</v>
      </c>
      <c r="L109" s="557"/>
    </row>
    <row r="110" spans="1:12" ht="11.25" customHeight="1">
      <c r="A110" s="640" t="s">
        <v>633</v>
      </c>
      <c r="C110" s="556">
        <v>9860</v>
      </c>
      <c r="E110" s="556">
        <v>8250</v>
      </c>
      <c r="F110" s="557" t="s">
        <v>561</v>
      </c>
      <c r="G110" s="556">
        <v>9000</v>
      </c>
      <c r="H110" s="557" t="s">
        <v>561</v>
      </c>
      <c r="I110" s="556">
        <v>6000</v>
      </c>
      <c r="J110" s="557" t="s">
        <v>561</v>
      </c>
      <c r="K110" s="556">
        <v>6000</v>
      </c>
      <c r="L110" s="557" t="s">
        <v>561</v>
      </c>
    </row>
    <row r="111" spans="1:12" ht="11.25" customHeight="1">
      <c r="A111" s="640" t="s">
        <v>318</v>
      </c>
      <c r="C111" s="556">
        <v>3440</v>
      </c>
      <c r="D111" s="557"/>
      <c r="E111" s="556">
        <v>2980</v>
      </c>
      <c r="F111" s="557" t="s">
        <v>561</v>
      </c>
      <c r="G111" s="556">
        <v>2500</v>
      </c>
      <c r="H111" s="557" t="s">
        <v>561</v>
      </c>
      <c r="I111" s="556">
        <v>2500</v>
      </c>
      <c r="J111" s="557" t="s">
        <v>561</v>
      </c>
      <c r="K111" s="556">
        <v>2500</v>
      </c>
      <c r="L111" s="557" t="s">
        <v>561</v>
      </c>
    </row>
    <row r="112" spans="1:12" ht="11.25" customHeight="1">
      <c r="A112" s="640" t="s">
        <v>634</v>
      </c>
      <c r="C112" s="556">
        <v>77</v>
      </c>
      <c r="E112" s="556">
        <v>73</v>
      </c>
      <c r="G112" s="556">
        <v>68</v>
      </c>
      <c r="I112" s="556">
        <v>69</v>
      </c>
      <c r="K112" s="556">
        <v>69</v>
      </c>
    </row>
    <row r="113" spans="1:12" ht="11.25" customHeight="1">
      <c r="A113" s="640" t="s">
        <v>635</v>
      </c>
      <c r="C113" s="556">
        <v>1000</v>
      </c>
      <c r="D113" s="557"/>
      <c r="E113" s="556">
        <v>950</v>
      </c>
      <c r="F113" s="557"/>
      <c r="G113" s="556">
        <v>1000</v>
      </c>
      <c r="H113" s="557"/>
      <c r="I113" s="556">
        <v>1000</v>
      </c>
      <c r="J113" s="557"/>
      <c r="K113" s="556">
        <v>950</v>
      </c>
      <c r="L113" s="557"/>
    </row>
    <row r="114" spans="1:12" ht="11.25" customHeight="1">
      <c r="A114" s="640" t="s">
        <v>636</v>
      </c>
      <c r="C114" s="556">
        <v>675</v>
      </c>
      <c r="D114" s="557" t="s">
        <v>542</v>
      </c>
      <c r="E114" s="556">
        <v>774</v>
      </c>
      <c r="F114" s="557" t="s">
        <v>542</v>
      </c>
      <c r="G114" s="556">
        <v>864</v>
      </c>
      <c r="H114" s="557" t="s">
        <v>542</v>
      </c>
      <c r="I114" s="556">
        <v>813</v>
      </c>
      <c r="J114" s="557" t="s">
        <v>568</v>
      </c>
      <c r="K114" s="556">
        <v>854</v>
      </c>
      <c r="L114" s="557" t="s">
        <v>561</v>
      </c>
    </row>
    <row r="115" spans="1:12" ht="11.25" customHeight="1">
      <c r="A115" s="640" t="s">
        <v>637</v>
      </c>
      <c r="C115" s="556">
        <v>350</v>
      </c>
      <c r="D115" s="557"/>
      <c r="E115" s="556">
        <v>350</v>
      </c>
      <c r="F115" s="557" t="s">
        <v>561</v>
      </c>
      <c r="G115" s="556">
        <v>400</v>
      </c>
      <c r="H115" s="557" t="s">
        <v>561</v>
      </c>
      <c r="I115" s="556">
        <v>400</v>
      </c>
      <c r="J115" s="557" t="s">
        <v>561</v>
      </c>
      <c r="K115" s="556">
        <v>400</v>
      </c>
      <c r="L115" s="557" t="s">
        <v>561</v>
      </c>
    </row>
    <row r="116" spans="1:12" ht="11.25" customHeight="1">
      <c r="A116" s="640" t="s">
        <v>638</v>
      </c>
      <c r="C116" s="556">
        <v>22800</v>
      </c>
      <c r="D116" s="557"/>
      <c r="E116" s="556">
        <v>26200</v>
      </c>
      <c r="F116" s="557"/>
      <c r="G116" s="556">
        <v>28000</v>
      </c>
      <c r="H116" s="557" t="s">
        <v>542</v>
      </c>
      <c r="I116" s="556">
        <v>29000</v>
      </c>
      <c r="J116" s="557" t="s">
        <v>542</v>
      </c>
      <c r="K116" s="556">
        <v>27000</v>
      </c>
    </row>
    <row r="117" spans="1:12" ht="11.25" customHeight="1">
      <c r="A117" s="640" t="s">
        <v>639</v>
      </c>
      <c r="C117" s="556">
        <v>896</v>
      </c>
      <c r="D117" s="557"/>
      <c r="E117" s="556">
        <v>928</v>
      </c>
      <c r="F117" s="557"/>
      <c r="G117" s="556">
        <v>935</v>
      </c>
      <c r="H117" s="557"/>
      <c r="I117" s="556">
        <v>865</v>
      </c>
      <c r="J117" s="557"/>
      <c r="K117" s="556">
        <v>811</v>
      </c>
      <c r="L117" s="557"/>
    </row>
    <row r="118" spans="1:12" ht="11.25" customHeight="1">
      <c r="A118" s="640" t="s">
        <v>640</v>
      </c>
      <c r="C118" s="556">
        <v>1480</v>
      </c>
      <c r="D118" s="557"/>
      <c r="E118" s="556">
        <v>1440</v>
      </c>
      <c r="F118" s="557" t="s">
        <v>561</v>
      </c>
      <c r="G118" s="556">
        <v>1520</v>
      </c>
      <c r="H118" s="557" t="s">
        <v>561</v>
      </c>
      <c r="I118" s="556">
        <v>1530</v>
      </c>
      <c r="J118" s="557" t="s">
        <v>561</v>
      </c>
      <c r="K118" s="556">
        <v>1400</v>
      </c>
      <c r="L118" s="557" t="s">
        <v>561</v>
      </c>
    </row>
    <row r="119" spans="1:12" ht="11.25" customHeight="1">
      <c r="A119" s="640" t="s">
        <v>766</v>
      </c>
      <c r="C119" s="556">
        <v>5520</v>
      </c>
      <c r="D119" s="557"/>
      <c r="E119" s="556">
        <v>6730</v>
      </c>
      <c r="F119" s="557" t="s">
        <v>542</v>
      </c>
      <c r="G119" s="556">
        <v>6640</v>
      </c>
      <c r="H119" s="557" t="s">
        <v>542</v>
      </c>
      <c r="I119" s="556">
        <v>7960</v>
      </c>
      <c r="J119" s="557" t="s">
        <v>568</v>
      </c>
      <c r="K119" s="556">
        <v>8360</v>
      </c>
      <c r="L119" s="557" t="s">
        <v>561</v>
      </c>
    </row>
    <row r="120" spans="1:12" ht="11.25" customHeight="1">
      <c r="A120" s="640" t="s">
        <v>535</v>
      </c>
      <c r="C120" s="556">
        <v>40500</v>
      </c>
      <c r="D120" s="557"/>
      <c r="E120" s="556">
        <v>43400</v>
      </c>
      <c r="F120" s="557"/>
      <c r="G120" s="556">
        <v>49571</v>
      </c>
      <c r="H120" s="557"/>
      <c r="I120" s="556">
        <v>44331</v>
      </c>
      <c r="J120" s="557" t="s">
        <v>542</v>
      </c>
      <c r="K120" s="556">
        <v>41819</v>
      </c>
      <c r="L120" s="557"/>
    </row>
    <row r="121" spans="1:12" ht="11.25" customHeight="1">
      <c r="A121" s="640" t="s">
        <v>294</v>
      </c>
      <c r="C121" s="556">
        <v>1370</v>
      </c>
      <c r="D121" s="557"/>
      <c r="E121" s="556">
        <v>749</v>
      </c>
      <c r="F121" s="557" t="s">
        <v>542</v>
      </c>
      <c r="G121" s="556">
        <v>1192</v>
      </c>
      <c r="H121" s="557" t="s">
        <v>542</v>
      </c>
      <c r="I121" s="556">
        <v>1380</v>
      </c>
      <c r="J121" s="557" t="s">
        <v>568</v>
      </c>
      <c r="K121" s="556">
        <v>1510</v>
      </c>
      <c r="L121" s="557" t="s">
        <v>561</v>
      </c>
    </row>
    <row r="122" spans="1:12" ht="11.25" customHeight="1">
      <c r="A122" s="640" t="s">
        <v>641</v>
      </c>
      <c r="C122" s="556">
        <v>140</v>
      </c>
      <c r="D122" s="557"/>
      <c r="E122" s="556">
        <v>130</v>
      </c>
      <c r="F122" s="557"/>
      <c r="G122" s="556">
        <v>150</v>
      </c>
      <c r="H122" s="557"/>
      <c r="I122" s="556">
        <v>160</v>
      </c>
      <c r="J122" s="557"/>
      <c r="K122" s="556">
        <v>160</v>
      </c>
    </row>
    <row r="123" spans="1:12" ht="11.25" customHeight="1">
      <c r="A123" s="640" t="s">
        <v>642</v>
      </c>
      <c r="C123" s="556">
        <v>1100</v>
      </c>
      <c r="D123" s="557"/>
      <c r="E123" s="556">
        <v>1000</v>
      </c>
      <c r="F123" s="557"/>
      <c r="G123" s="556">
        <v>1100</v>
      </c>
      <c r="H123" s="557"/>
      <c r="I123" s="556">
        <v>1000</v>
      </c>
      <c r="J123" s="557" t="s">
        <v>542</v>
      </c>
      <c r="K123" s="556">
        <v>1800</v>
      </c>
    </row>
    <row r="124" spans="1:12" ht="11.25" customHeight="1">
      <c r="A124" s="640" t="s">
        <v>539</v>
      </c>
      <c r="C124" s="556">
        <v>10574</v>
      </c>
      <c r="E124" s="556">
        <v>9140</v>
      </c>
      <c r="G124" s="556">
        <v>12855</v>
      </c>
      <c r="I124" s="556">
        <v>13196</v>
      </c>
      <c r="J124" s="557" t="s">
        <v>542</v>
      </c>
      <c r="K124" s="556">
        <v>11404</v>
      </c>
      <c r="L124" s="557"/>
    </row>
    <row r="125" spans="1:12" ht="11.25" customHeight="1">
      <c r="A125" s="640" t="s">
        <v>643</v>
      </c>
      <c r="C125" s="556">
        <v>27700</v>
      </c>
      <c r="D125" s="557"/>
      <c r="E125" s="556">
        <v>23000</v>
      </c>
      <c r="F125" s="557" t="s">
        <v>561</v>
      </c>
      <c r="G125" s="556">
        <v>27000</v>
      </c>
      <c r="H125" s="557" t="s">
        <v>561</v>
      </c>
      <c r="I125" s="556">
        <v>28700</v>
      </c>
      <c r="J125" s="557" t="s">
        <v>561</v>
      </c>
      <c r="K125" s="556">
        <v>30000</v>
      </c>
      <c r="L125" s="557" t="s">
        <v>561</v>
      </c>
    </row>
    <row r="126" spans="1:12" ht="11.25" customHeight="1">
      <c r="A126" s="640" t="s">
        <v>295</v>
      </c>
      <c r="C126" s="556">
        <v>18653</v>
      </c>
      <c r="D126" s="557"/>
      <c r="E126" s="556">
        <v>18700</v>
      </c>
      <c r="F126" s="557"/>
      <c r="G126" s="556">
        <v>19325</v>
      </c>
      <c r="H126" s="557" t="s">
        <v>542</v>
      </c>
      <c r="I126" s="556">
        <v>18853</v>
      </c>
      <c r="J126" s="557" t="s">
        <v>542</v>
      </c>
      <c r="K126" s="556">
        <v>16785</v>
      </c>
      <c r="L126" s="557"/>
    </row>
    <row r="127" spans="1:12" ht="11.25" customHeight="1">
      <c r="A127" s="640" t="s">
        <v>644</v>
      </c>
      <c r="C127" s="556">
        <v>4140</v>
      </c>
      <c r="D127" s="557"/>
      <c r="E127" s="556">
        <v>4290</v>
      </c>
      <c r="F127" s="557" t="s">
        <v>561</v>
      </c>
      <c r="G127" s="556">
        <v>4500</v>
      </c>
      <c r="H127" s="557" t="s">
        <v>561</v>
      </c>
      <c r="I127" s="556">
        <v>4500</v>
      </c>
      <c r="J127" s="557" t="s">
        <v>561</v>
      </c>
      <c r="K127" s="556">
        <v>5000</v>
      </c>
      <c r="L127" s="557" t="s">
        <v>561</v>
      </c>
    </row>
    <row r="128" spans="1:12" ht="11.25" customHeight="1">
      <c r="A128" s="640" t="s">
        <v>645</v>
      </c>
      <c r="C128" s="556">
        <v>4500</v>
      </c>
      <c r="E128" s="556">
        <v>4400</v>
      </c>
      <c r="F128" s="557" t="s">
        <v>542</v>
      </c>
      <c r="G128" s="556">
        <v>5200</v>
      </c>
      <c r="H128" s="557" t="s">
        <v>542</v>
      </c>
      <c r="I128" s="556">
        <v>5400</v>
      </c>
      <c r="J128" s="557" t="s">
        <v>568</v>
      </c>
      <c r="K128" s="556">
        <v>5500</v>
      </c>
      <c r="L128" s="557" t="s">
        <v>561</v>
      </c>
    </row>
    <row r="129" spans="1:12" ht="11.25" customHeight="1">
      <c r="A129" s="640" t="s">
        <v>646</v>
      </c>
      <c r="C129" s="556">
        <v>250</v>
      </c>
      <c r="E129" s="556">
        <v>218</v>
      </c>
      <c r="F129" s="557" t="s">
        <v>561</v>
      </c>
      <c r="G129" s="556">
        <v>242</v>
      </c>
      <c r="H129" s="557" t="s">
        <v>561</v>
      </c>
      <c r="I129" s="556">
        <v>280</v>
      </c>
      <c r="J129" s="557" t="s">
        <v>561</v>
      </c>
      <c r="K129" s="556">
        <v>275</v>
      </c>
      <c r="L129" s="557" t="s">
        <v>561</v>
      </c>
    </row>
    <row r="130" spans="1:12" ht="11.25" customHeight="1">
      <c r="A130" s="640" t="s">
        <v>647</v>
      </c>
      <c r="C130" s="556">
        <v>9937</v>
      </c>
      <c r="D130" s="557"/>
      <c r="E130" s="556">
        <v>10539</v>
      </c>
      <c r="F130" s="557"/>
      <c r="G130" s="556">
        <v>10676</v>
      </c>
      <c r="H130" s="557"/>
      <c r="I130" s="556">
        <v>10204</v>
      </c>
      <c r="J130" s="557"/>
      <c r="K130" s="556">
        <v>9057</v>
      </c>
    </row>
    <row r="131" spans="1:12" ht="11.25" customHeight="1">
      <c r="A131" s="640" t="s">
        <v>648</v>
      </c>
      <c r="C131" s="556">
        <v>57676</v>
      </c>
      <c r="D131" s="557"/>
      <c r="E131" s="556">
        <v>56165</v>
      </c>
      <c r="F131" s="557"/>
      <c r="G131" s="556">
        <v>59700</v>
      </c>
      <c r="H131" s="557"/>
      <c r="I131" s="556">
        <v>61000</v>
      </c>
      <c r="J131" s="557" t="s">
        <v>542</v>
      </c>
      <c r="K131" s="556">
        <v>63000</v>
      </c>
      <c r="L131" s="557" t="s">
        <v>561</v>
      </c>
    </row>
    <row r="132" spans="1:12" ht="11.25" customHeight="1">
      <c r="A132" s="640" t="s">
        <v>649</v>
      </c>
      <c r="C132" s="556">
        <v>450</v>
      </c>
      <c r="E132" s="556">
        <v>490</v>
      </c>
      <c r="F132" s="557"/>
      <c r="G132" s="556">
        <v>630</v>
      </c>
      <c r="H132" s="557" t="s">
        <v>542</v>
      </c>
      <c r="I132" s="556">
        <v>760</v>
      </c>
      <c r="J132" s="557" t="s">
        <v>542</v>
      </c>
      <c r="K132" s="556">
        <v>810</v>
      </c>
    </row>
    <row r="133" spans="1:12" ht="11.25" customHeight="1">
      <c r="A133" s="640" t="s">
        <v>503</v>
      </c>
      <c r="C133" s="556">
        <v>44341</v>
      </c>
      <c r="D133" s="557"/>
      <c r="E133" s="556">
        <v>53418</v>
      </c>
      <c r="F133" s="557"/>
      <c r="G133" s="556">
        <v>53699</v>
      </c>
      <c r="H133" s="557"/>
      <c r="I133" s="556">
        <v>52373</v>
      </c>
      <c r="J133" s="557" t="s">
        <v>542</v>
      </c>
      <c r="K133" s="556">
        <v>49194</v>
      </c>
    </row>
    <row r="134" spans="1:12" ht="11.25" customHeight="1">
      <c r="A134" s="640" t="s">
        <v>650</v>
      </c>
      <c r="C134" s="556">
        <v>6775</v>
      </c>
      <c r="D134" s="557"/>
      <c r="E134" s="556">
        <v>7038</v>
      </c>
      <c r="F134" s="557"/>
      <c r="G134" s="556">
        <v>7500</v>
      </c>
      <c r="H134" s="557" t="s">
        <v>561</v>
      </c>
      <c r="I134" s="556">
        <v>8000</v>
      </c>
      <c r="J134" s="557" t="s">
        <v>561</v>
      </c>
      <c r="K134" s="556">
        <v>9000</v>
      </c>
      <c r="L134" s="557" t="s">
        <v>561</v>
      </c>
    </row>
    <row r="135" spans="1:12" ht="11.25" customHeight="1">
      <c r="A135" s="640" t="s">
        <v>651</v>
      </c>
      <c r="C135" s="556">
        <v>2151</v>
      </c>
      <c r="D135" s="557"/>
      <c r="E135" s="556">
        <v>2364</v>
      </c>
      <c r="F135" s="557"/>
      <c r="G135" s="556">
        <v>2610</v>
      </c>
      <c r="H135" s="557"/>
      <c r="I135" s="556">
        <v>2625</v>
      </c>
      <c r="J135" s="557"/>
      <c r="K135" s="556">
        <v>2667</v>
      </c>
    </row>
    <row r="136" spans="1:12" ht="11.25" customHeight="1">
      <c r="A136" s="640" t="s">
        <v>652</v>
      </c>
      <c r="C136" s="556">
        <v>340</v>
      </c>
      <c r="D136" s="557"/>
      <c r="E136" s="556">
        <v>330</v>
      </c>
      <c r="F136" s="557" t="s">
        <v>561</v>
      </c>
      <c r="G136" s="556">
        <v>350</v>
      </c>
      <c r="H136" s="557" t="s">
        <v>561</v>
      </c>
      <c r="I136" s="556">
        <v>350</v>
      </c>
      <c r="J136" s="557" t="s">
        <v>561</v>
      </c>
      <c r="K136" s="556">
        <v>360</v>
      </c>
      <c r="L136" s="557" t="s">
        <v>561</v>
      </c>
    </row>
    <row r="137" spans="1:12" ht="11.25" customHeight="1">
      <c r="A137" s="640" t="s">
        <v>653</v>
      </c>
      <c r="C137" s="556">
        <v>4031</v>
      </c>
      <c r="E137" s="556">
        <v>4072</v>
      </c>
      <c r="G137" s="556">
        <v>4165</v>
      </c>
      <c r="I137" s="556">
        <v>3414</v>
      </c>
      <c r="J137" s="557" t="s">
        <v>542</v>
      </c>
      <c r="K137" s="556">
        <v>3400</v>
      </c>
      <c r="L137" s="557" t="s">
        <v>561</v>
      </c>
    </row>
    <row r="138" spans="1:12" ht="11.25" customHeight="1">
      <c r="A138" s="640" t="s">
        <v>654</v>
      </c>
      <c r="C138" s="556">
        <v>970</v>
      </c>
      <c r="D138" s="557"/>
      <c r="E138" s="556">
        <v>960</v>
      </c>
      <c r="F138" s="557"/>
      <c r="G138" s="556">
        <v>920</v>
      </c>
      <c r="H138" s="557"/>
      <c r="I138" s="556">
        <v>950</v>
      </c>
      <c r="J138" s="557"/>
      <c r="K138" s="556">
        <v>888</v>
      </c>
    </row>
    <row r="139" spans="1:12" ht="11.25" customHeight="1">
      <c r="A139" s="640" t="s">
        <v>655</v>
      </c>
      <c r="C139" s="556">
        <v>12726</v>
      </c>
      <c r="D139" s="557"/>
      <c r="E139" s="556">
        <v>10800</v>
      </c>
      <c r="F139" s="557"/>
      <c r="G139" s="556">
        <v>12500</v>
      </c>
      <c r="H139" s="557" t="s">
        <v>561</v>
      </c>
      <c r="I139" s="556">
        <v>12000</v>
      </c>
      <c r="J139" s="557" t="s">
        <v>561</v>
      </c>
      <c r="K139" s="556">
        <v>12000</v>
      </c>
      <c r="L139" s="557" t="s">
        <v>561</v>
      </c>
    </row>
    <row r="140" spans="1:12" ht="11.25" customHeight="1">
      <c r="A140" s="640" t="s">
        <v>319</v>
      </c>
      <c r="C140" s="556">
        <v>16998</v>
      </c>
      <c r="D140" s="557"/>
      <c r="E140" s="556">
        <v>15600</v>
      </c>
      <c r="F140" s="557" t="s">
        <v>561</v>
      </c>
      <c r="G140" s="556">
        <v>18000</v>
      </c>
      <c r="H140" s="557" t="s">
        <v>561</v>
      </c>
      <c r="I140" s="556">
        <v>19000</v>
      </c>
      <c r="J140" s="557" t="s">
        <v>561</v>
      </c>
      <c r="K140" s="556">
        <v>19800</v>
      </c>
      <c r="L140" s="557" t="s">
        <v>561</v>
      </c>
    </row>
    <row r="141" spans="1:12" ht="11.25" customHeight="1">
      <c r="A141" s="640" t="s">
        <v>656</v>
      </c>
      <c r="C141" s="556">
        <v>3397</v>
      </c>
      <c r="D141" s="557"/>
      <c r="E141" s="556">
        <v>3937</v>
      </c>
      <c r="F141" s="557"/>
      <c r="G141" s="556">
        <v>4396</v>
      </c>
      <c r="H141" s="557"/>
      <c r="I141" s="556">
        <v>3156</v>
      </c>
      <c r="J141" s="557" t="s">
        <v>542</v>
      </c>
      <c r="K141" s="556">
        <v>2680</v>
      </c>
      <c r="L141" s="557" t="s">
        <v>561</v>
      </c>
    </row>
    <row r="142" spans="1:12" ht="11.25" customHeight="1">
      <c r="A142" s="640" t="s">
        <v>657</v>
      </c>
      <c r="C142" s="556">
        <v>2594</v>
      </c>
      <c r="D142" s="557"/>
      <c r="E142" s="556">
        <v>2387</v>
      </c>
      <c r="F142" s="557"/>
      <c r="G142" s="556">
        <v>2285</v>
      </c>
      <c r="H142" s="557"/>
      <c r="I142" s="556">
        <v>2260</v>
      </c>
      <c r="J142" s="557" t="s">
        <v>561</v>
      </c>
      <c r="K142" s="556">
        <v>2260</v>
      </c>
      <c r="L142" s="557" t="s">
        <v>561</v>
      </c>
    </row>
    <row r="143" spans="1:12" ht="11.25" customHeight="1">
      <c r="A143" s="640" t="s">
        <v>767</v>
      </c>
      <c r="C143" s="556">
        <v>50</v>
      </c>
      <c r="D143" s="557"/>
      <c r="E143" s="556">
        <v>50</v>
      </c>
      <c r="F143" s="557"/>
      <c r="G143" s="556">
        <v>50</v>
      </c>
      <c r="H143" s="557"/>
      <c r="I143" s="556">
        <v>50</v>
      </c>
      <c r="J143" s="557"/>
      <c r="K143" s="556">
        <v>50</v>
      </c>
      <c r="L143" s="557"/>
    </row>
    <row r="144" spans="1:12" ht="11.25" customHeight="1">
      <c r="A144" s="640" t="s">
        <v>768</v>
      </c>
      <c r="C144" s="556">
        <v>2700</v>
      </c>
      <c r="D144" s="557"/>
      <c r="E144" s="556">
        <v>2800</v>
      </c>
      <c r="F144" s="557"/>
      <c r="G144" s="556">
        <v>2800</v>
      </c>
      <c r="H144" s="557"/>
      <c r="I144" s="556">
        <v>2900</v>
      </c>
      <c r="J144" s="557"/>
      <c r="K144" s="556">
        <v>2700</v>
      </c>
      <c r="L144" s="557"/>
    </row>
    <row r="145" spans="1:12" ht="11.25" customHeight="1">
      <c r="A145" s="640" t="s">
        <v>658</v>
      </c>
      <c r="C145" s="556">
        <v>4210</v>
      </c>
      <c r="E145" s="556">
        <v>4150</v>
      </c>
      <c r="G145" s="556">
        <v>4180</v>
      </c>
      <c r="I145" s="556">
        <v>4150</v>
      </c>
      <c r="K145" s="556">
        <v>3730</v>
      </c>
    </row>
    <row r="146" spans="1:12" ht="11.25" customHeight="1">
      <c r="A146" s="640" t="s">
        <v>659</v>
      </c>
      <c r="C146" s="556">
        <v>2065</v>
      </c>
      <c r="D146" s="557"/>
      <c r="E146" s="556">
        <v>2660</v>
      </c>
      <c r="F146" s="557" t="s">
        <v>542</v>
      </c>
      <c r="G146" s="556">
        <v>3750</v>
      </c>
      <c r="H146" s="557" t="s">
        <v>542</v>
      </c>
      <c r="I146" s="556">
        <v>4460</v>
      </c>
      <c r="J146" s="557" t="s">
        <v>568</v>
      </c>
      <c r="K146" s="556">
        <v>4550</v>
      </c>
      <c r="L146" s="557" t="s">
        <v>561</v>
      </c>
    </row>
    <row r="147" spans="1:12" ht="11.25" customHeight="1">
      <c r="A147" s="640" t="s">
        <v>296</v>
      </c>
      <c r="C147" s="556">
        <v>11271</v>
      </c>
      <c r="D147" s="557"/>
      <c r="E147" s="556">
        <v>11786</v>
      </c>
      <c r="F147" s="557"/>
      <c r="G147" s="556">
        <v>11970</v>
      </c>
      <c r="H147" s="557"/>
      <c r="I147" s="556">
        <v>11223</v>
      </c>
      <c r="J147" s="557"/>
      <c r="K147" s="556">
        <v>10246</v>
      </c>
    </row>
    <row r="148" spans="1:12" ht="11.25" customHeight="1">
      <c r="A148" s="640" t="s">
        <v>660</v>
      </c>
      <c r="C148" s="556">
        <v>4202</v>
      </c>
      <c r="E148" s="556">
        <v>4243</v>
      </c>
      <c r="G148" s="556">
        <v>4280</v>
      </c>
      <c r="H148" s="557" t="s">
        <v>542</v>
      </c>
      <c r="I148" s="556">
        <v>4353</v>
      </c>
      <c r="J148" s="557" t="s">
        <v>542</v>
      </c>
      <c r="K148" s="556">
        <v>4456</v>
      </c>
    </row>
    <row r="149" spans="1:12" ht="11.25" customHeight="1">
      <c r="A149" s="640" t="s">
        <v>661</v>
      </c>
      <c r="C149" s="556">
        <v>6514</v>
      </c>
      <c r="E149" s="556">
        <v>6496</v>
      </c>
      <c r="G149" s="556">
        <v>6531</v>
      </c>
      <c r="H149" s="557"/>
      <c r="I149" s="556">
        <v>7598</v>
      </c>
      <c r="J149" s="557"/>
      <c r="K149" s="556">
        <v>7800</v>
      </c>
      <c r="L149" s="557" t="s">
        <v>561</v>
      </c>
    </row>
    <row r="150" spans="1:12" ht="11.25" customHeight="1">
      <c r="A150" s="640" t="s">
        <v>297</v>
      </c>
      <c r="C150" s="556">
        <v>40261</v>
      </c>
      <c r="D150" s="557"/>
      <c r="E150" s="556">
        <v>38616</v>
      </c>
      <c r="F150" s="557"/>
      <c r="G150" s="556">
        <v>43600</v>
      </c>
      <c r="H150" s="557" t="s">
        <v>542</v>
      </c>
      <c r="I150" s="556">
        <v>42960</v>
      </c>
      <c r="J150" s="557" t="s">
        <v>542</v>
      </c>
      <c r="K150" s="556">
        <v>42740</v>
      </c>
      <c r="L150" s="557" t="s">
        <v>561</v>
      </c>
    </row>
    <row r="151" spans="1:12" ht="11.25" customHeight="1">
      <c r="A151" s="640" t="s">
        <v>662</v>
      </c>
      <c r="C151" s="556">
        <v>1650</v>
      </c>
      <c r="D151" s="557"/>
      <c r="E151" s="556">
        <v>1550</v>
      </c>
      <c r="F151" s="557" t="s">
        <v>561</v>
      </c>
      <c r="G151" s="556">
        <v>1650</v>
      </c>
      <c r="H151" s="557"/>
      <c r="I151" s="556">
        <v>1700</v>
      </c>
      <c r="J151" s="557" t="s">
        <v>561</v>
      </c>
      <c r="K151" s="556">
        <v>1700</v>
      </c>
      <c r="L151" s="557" t="s">
        <v>561</v>
      </c>
    </row>
    <row r="152" spans="1:12" ht="11.25" customHeight="1">
      <c r="A152" s="640" t="s">
        <v>663</v>
      </c>
      <c r="C152" s="556">
        <v>678</v>
      </c>
      <c r="E152" s="556">
        <v>632</v>
      </c>
      <c r="G152" s="556">
        <v>723</v>
      </c>
      <c r="H152" s="557"/>
      <c r="I152" s="556">
        <v>707</v>
      </c>
      <c r="J152" s="557"/>
      <c r="K152" s="556">
        <v>719</v>
      </c>
    </row>
    <row r="153" spans="1:12" ht="11.25" customHeight="1">
      <c r="A153" s="640" t="s">
        <v>465</v>
      </c>
      <c r="C153" s="556">
        <v>8096</v>
      </c>
      <c r="E153" s="556">
        <v>7161</v>
      </c>
      <c r="G153" s="556">
        <v>8499</v>
      </c>
      <c r="I153" s="556">
        <v>7889</v>
      </c>
      <c r="K153" s="556">
        <v>7589</v>
      </c>
    </row>
    <row r="154" spans="1:12" ht="11.25" customHeight="1">
      <c r="A154" s="640" t="s">
        <v>320</v>
      </c>
      <c r="C154" s="556">
        <v>56966</v>
      </c>
      <c r="D154" s="557"/>
      <c r="E154" s="556">
        <v>72299</v>
      </c>
      <c r="F154" s="557"/>
      <c r="G154" s="556">
        <v>78495</v>
      </c>
      <c r="H154" s="557"/>
      <c r="I154" s="556">
        <v>73708</v>
      </c>
      <c r="J154" s="557"/>
      <c r="K154" s="556">
        <v>81451</v>
      </c>
      <c r="L154" s="557"/>
    </row>
    <row r="155" spans="1:12" ht="11.25" customHeight="1">
      <c r="A155" s="640" t="s">
        <v>664</v>
      </c>
      <c r="C155" s="556">
        <v>2400</v>
      </c>
      <c r="D155" s="557"/>
      <c r="E155" s="556">
        <v>1900</v>
      </c>
      <c r="F155" s="557"/>
      <c r="G155" s="556">
        <v>2000</v>
      </c>
      <c r="H155" s="557"/>
      <c r="I155" s="556">
        <v>2100</v>
      </c>
      <c r="J155" s="557"/>
      <c r="K155" s="556">
        <v>2700</v>
      </c>
    </row>
    <row r="156" spans="1:12" ht="11.25" customHeight="1">
      <c r="A156" s="640" t="s">
        <v>665</v>
      </c>
      <c r="C156" s="556">
        <v>3072</v>
      </c>
      <c r="D156" s="557"/>
      <c r="E156" s="556">
        <v>3738</v>
      </c>
      <c r="F156" s="557"/>
      <c r="G156" s="556">
        <v>4605</v>
      </c>
      <c r="H156" s="557"/>
      <c r="I156" s="556">
        <v>4659</v>
      </c>
      <c r="J156" s="557" t="s">
        <v>542</v>
      </c>
      <c r="K156" s="556">
        <v>5100</v>
      </c>
      <c r="L156" s="557" t="s">
        <v>561</v>
      </c>
    </row>
    <row r="157" spans="1:12" ht="11.25" customHeight="1">
      <c r="A157" s="640" t="s">
        <v>666</v>
      </c>
      <c r="C157" s="556">
        <v>9201</v>
      </c>
      <c r="E157" s="556">
        <v>9568</v>
      </c>
      <c r="F157" s="557"/>
      <c r="G157" s="556">
        <v>10781</v>
      </c>
      <c r="H157" s="557"/>
      <c r="I157" s="556">
        <v>5400</v>
      </c>
      <c r="J157" s="557" t="s">
        <v>561</v>
      </c>
      <c r="K157" s="556">
        <v>6600</v>
      </c>
      <c r="L157" s="557" t="s">
        <v>561</v>
      </c>
    </row>
    <row r="158" spans="1:12" ht="11.25" customHeight="1">
      <c r="A158" s="640" t="s">
        <v>667</v>
      </c>
      <c r="C158" s="556">
        <v>16100</v>
      </c>
      <c r="D158" s="557"/>
      <c r="E158" s="556">
        <v>11520</v>
      </c>
      <c r="F158" s="557" t="s">
        <v>542</v>
      </c>
      <c r="G158" s="556">
        <v>13280</v>
      </c>
      <c r="H158" s="557" t="s">
        <v>542</v>
      </c>
      <c r="I158" s="556">
        <v>13400</v>
      </c>
      <c r="J158" s="557" t="s">
        <v>568</v>
      </c>
      <c r="K158" s="556">
        <v>13400</v>
      </c>
      <c r="L158" s="557" t="s">
        <v>561</v>
      </c>
    </row>
    <row r="159" spans="1:12" ht="11.25" customHeight="1">
      <c r="A159" s="640" t="s">
        <v>298</v>
      </c>
      <c r="C159" s="556">
        <v>9079</v>
      </c>
      <c r="E159" s="556">
        <v>8046</v>
      </c>
      <c r="F159" s="557"/>
      <c r="G159" s="556">
        <v>9008</v>
      </c>
      <c r="H159" s="557"/>
      <c r="I159" s="556">
        <v>8800</v>
      </c>
      <c r="J159" s="557" t="s">
        <v>568</v>
      </c>
      <c r="K159" s="556">
        <v>8400</v>
      </c>
      <c r="L159" s="557" t="s">
        <v>561</v>
      </c>
    </row>
    <row r="160" spans="1:12" ht="11.25" customHeight="1">
      <c r="A160" s="640" t="s">
        <v>668</v>
      </c>
      <c r="C160" s="556">
        <v>88100</v>
      </c>
      <c r="D160" s="557"/>
      <c r="E160" s="556">
        <v>89800</v>
      </c>
      <c r="F160" s="557"/>
      <c r="G160" s="556">
        <v>91300</v>
      </c>
      <c r="H160" s="557"/>
      <c r="I160" s="556">
        <v>91600</v>
      </c>
      <c r="J160" s="557"/>
      <c r="K160" s="556">
        <v>90100</v>
      </c>
      <c r="L160" s="557" t="s">
        <v>561</v>
      </c>
    </row>
    <row r="161" spans="1:12" ht="11.25" customHeight="1">
      <c r="A161" s="640" t="s">
        <v>669</v>
      </c>
      <c r="C161" s="556">
        <v>737</v>
      </c>
      <c r="E161" s="556">
        <v>825</v>
      </c>
      <c r="G161" s="556">
        <v>900</v>
      </c>
      <c r="H161" s="557" t="s">
        <v>561</v>
      </c>
      <c r="I161" s="556">
        <v>970</v>
      </c>
      <c r="J161" s="557" t="s">
        <v>568</v>
      </c>
      <c r="K161" s="556">
        <v>1000</v>
      </c>
      <c r="L161" s="557" t="s">
        <v>561</v>
      </c>
    </row>
    <row r="162" spans="1:12" ht="11.25" customHeight="1">
      <c r="A162" s="640" t="s">
        <v>670</v>
      </c>
      <c r="C162" s="556">
        <v>10990</v>
      </c>
      <c r="D162" s="557"/>
      <c r="E162" s="556">
        <v>12540</v>
      </c>
      <c r="F162" s="557"/>
      <c r="G162" s="556">
        <v>13043</v>
      </c>
      <c r="H162" s="557" t="s">
        <v>542</v>
      </c>
      <c r="I162" s="556">
        <v>11360</v>
      </c>
      <c r="J162" s="557" t="s">
        <v>542</v>
      </c>
      <c r="K162" s="556">
        <v>11930</v>
      </c>
      <c r="L162" s="557" t="s">
        <v>561</v>
      </c>
    </row>
    <row r="163" spans="1:12" ht="11.25" customHeight="1">
      <c r="A163" s="640" t="s">
        <v>769</v>
      </c>
      <c r="C163" s="556">
        <v>1500</v>
      </c>
      <c r="D163" s="557"/>
      <c r="E163" s="556">
        <v>1400</v>
      </c>
      <c r="F163" s="557"/>
      <c r="G163" s="556">
        <v>2500</v>
      </c>
      <c r="H163" s="557"/>
      <c r="I163" s="556">
        <v>2600</v>
      </c>
      <c r="J163" s="557"/>
      <c r="K163" s="556">
        <v>1500</v>
      </c>
      <c r="L163" s="557"/>
    </row>
    <row r="164" spans="1:12" ht="11.25" customHeight="1">
      <c r="A164" s="640" t="s">
        <v>466</v>
      </c>
      <c r="C164" s="556">
        <v>105533</v>
      </c>
      <c r="D164" s="557"/>
      <c r="E164" s="556">
        <v>112283</v>
      </c>
      <c r="F164" s="557"/>
      <c r="G164" s="556">
        <v>111199</v>
      </c>
      <c r="H164" s="557"/>
      <c r="I164" s="556">
        <v>111252</v>
      </c>
      <c r="J164" s="557" t="s">
        <v>542</v>
      </c>
      <c r="K164" s="556">
        <v>106952</v>
      </c>
      <c r="L164" s="557"/>
    </row>
    <row r="165" spans="1:12" ht="11.25" customHeight="1">
      <c r="A165" s="640" t="s">
        <v>671</v>
      </c>
      <c r="C165" s="556">
        <v>1900</v>
      </c>
      <c r="D165" s="557"/>
      <c r="E165" s="556">
        <v>1250</v>
      </c>
      <c r="F165" s="557" t="s">
        <v>542</v>
      </c>
      <c r="G165" s="556">
        <v>1620</v>
      </c>
      <c r="H165" s="557" t="s">
        <v>542</v>
      </c>
      <c r="I165" s="556">
        <v>2900</v>
      </c>
      <c r="J165" s="557" t="s">
        <v>568</v>
      </c>
      <c r="K165" s="556">
        <v>3000</v>
      </c>
      <c r="L165" s="557" t="s">
        <v>561</v>
      </c>
    </row>
    <row r="166" spans="1:12" ht="11.25" customHeight="1">
      <c r="A166" s="640" t="s">
        <v>672</v>
      </c>
      <c r="C166" s="556">
        <v>2480</v>
      </c>
      <c r="D166" s="557" t="s">
        <v>561</v>
      </c>
      <c r="E166" s="556">
        <v>2797</v>
      </c>
      <c r="F166" s="557"/>
      <c r="G166" s="556">
        <v>2732</v>
      </c>
      <c r="H166" s="557"/>
      <c r="I166" s="556">
        <v>2369</v>
      </c>
      <c r="J166" s="557" t="s">
        <v>542</v>
      </c>
      <c r="K166" s="556">
        <v>2769</v>
      </c>
      <c r="L166" s="557"/>
    </row>
    <row r="167" spans="1:12" ht="11.25" customHeight="1">
      <c r="A167" s="640" t="s">
        <v>673</v>
      </c>
      <c r="C167" s="374">
        <v>1220</v>
      </c>
      <c r="D167" s="373"/>
      <c r="E167" s="374">
        <v>1280</v>
      </c>
      <c r="F167" s="373" t="s">
        <v>561</v>
      </c>
      <c r="G167" s="374">
        <v>1400</v>
      </c>
      <c r="H167" s="373" t="s">
        <v>561</v>
      </c>
      <c r="I167" s="374">
        <v>1350</v>
      </c>
      <c r="J167" s="373" t="s">
        <v>568</v>
      </c>
      <c r="K167" s="374">
        <v>1500</v>
      </c>
      <c r="L167" s="373" t="s">
        <v>561</v>
      </c>
    </row>
    <row r="168" spans="1:12" ht="11.25" customHeight="1">
      <c r="A168" s="641" t="s">
        <v>52</v>
      </c>
      <c r="B168" s="642"/>
      <c r="C168" s="374">
        <v>4200000</v>
      </c>
      <c r="D168" s="373"/>
      <c r="E168" s="374">
        <v>4210000</v>
      </c>
      <c r="F168" s="373" t="s">
        <v>542</v>
      </c>
      <c r="G168" s="374">
        <v>4360000</v>
      </c>
      <c r="H168" s="373" t="s">
        <v>542</v>
      </c>
      <c r="I168" s="374">
        <v>4060000</v>
      </c>
      <c r="J168" s="373" t="s">
        <v>542</v>
      </c>
      <c r="K168" s="374">
        <v>4090000</v>
      </c>
      <c r="L168" s="558"/>
    </row>
    <row r="169" spans="1:12" ht="11.25" customHeight="1">
      <c r="A169" s="850" t="s">
        <v>770</v>
      </c>
      <c r="B169" s="850"/>
      <c r="C169" s="850"/>
      <c r="D169" s="850"/>
      <c r="E169" s="850"/>
      <c r="F169" s="850"/>
      <c r="G169" s="850"/>
      <c r="H169" s="850"/>
      <c r="I169" s="850"/>
      <c r="J169" s="850"/>
      <c r="K169" s="850"/>
      <c r="L169" s="850"/>
    </row>
    <row r="170" spans="1:12" ht="22.5" customHeight="1">
      <c r="A170" s="846" t="s">
        <v>771</v>
      </c>
      <c r="B170" s="846"/>
      <c r="C170" s="846"/>
      <c r="D170" s="846"/>
      <c r="E170" s="846"/>
      <c r="F170" s="846"/>
      <c r="G170" s="846"/>
      <c r="H170" s="846"/>
      <c r="I170" s="846"/>
      <c r="J170" s="846"/>
      <c r="K170" s="846"/>
      <c r="L170" s="846"/>
    </row>
    <row r="171" spans="1:12" ht="33.75" customHeight="1">
      <c r="A171" s="846" t="s">
        <v>723</v>
      </c>
      <c r="B171" s="846"/>
      <c r="C171" s="846"/>
      <c r="D171" s="846"/>
      <c r="E171" s="846"/>
      <c r="F171" s="846"/>
      <c r="G171" s="846"/>
      <c r="H171" s="846"/>
      <c r="I171" s="846"/>
      <c r="J171" s="846"/>
      <c r="K171" s="846"/>
      <c r="L171" s="846"/>
    </row>
    <row r="172" spans="1:12" ht="11.25" customHeight="1">
      <c r="A172" s="851" t="s">
        <v>674</v>
      </c>
      <c r="B172" s="851"/>
      <c r="C172" s="851"/>
      <c r="D172" s="851"/>
      <c r="E172" s="851"/>
      <c r="F172" s="851"/>
      <c r="G172" s="851"/>
      <c r="H172" s="851"/>
      <c r="I172" s="851"/>
      <c r="J172" s="851"/>
      <c r="K172" s="851"/>
      <c r="L172" s="851"/>
    </row>
    <row r="173" spans="1:12" ht="11.25" customHeight="1">
      <c r="A173" s="851" t="s">
        <v>675</v>
      </c>
      <c r="B173" s="851"/>
      <c r="C173" s="851"/>
      <c r="D173" s="851"/>
      <c r="E173" s="851"/>
      <c r="F173" s="851"/>
      <c r="G173" s="851"/>
      <c r="H173" s="851"/>
      <c r="I173" s="851"/>
      <c r="J173" s="851"/>
      <c r="K173" s="851"/>
      <c r="L173" s="851"/>
    </row>
    <row r="174" spans="1:12" ht="11.25" customHeight="1">
      <c r="A174" s="851" t="s">
        <v>676</v>
      </c>
      <c r="B174" s="851"/>
      <c r="C174" s="851"/>
      <c r="D174" s="851"/>
      <c r="E174" s="851"/>
      <c r="F174" s="851"/>
      <c r="G174" s="851"/>
      <c r="H174" s="851"/>
      <c r="I174" s="851"/>
      <c r="J174" s="851"/>
      <c r="K174" s="851"/>
      <c r="L174" s="851"/>
    </row>
    <row r="175" spans="1:12" ht="33.75" customHeight="1">
      <c r="A175" s="846" t="s">
        <v>677</v>
      </c>
      <c r="B175" s="846"/>
      <c r="C175" s="846"/>
      <c r="D175" s="846"/>
      <c r="E175" s="846"/>
      <c r="F175" s="846"/>
      <c r="G175" s="846"/>
      <c r="H175" s="846"/>
      <c r="I175" s="846"/>
      <c r="J175" s="846"/>
      <c r="K175" s="846"/>
      <c r="L175" s="846"/>
    </row>
  </sheetData>
  <mergeCells count="12">
    <mergeCell ref="A175:L175"/>
    <mergeCell ref="A1:L1"/>
    <mergeCell ref="A2:L2"/>
    <mergeCell ref="A3:L3"/>
    <mergeCell ref="A4:L4"/>
    <mergeCell ref="A5:L5"/>
    <mergeCell ref="A169:L169"/>
    <mergeCell ref="A170:L170"/>
    <mergeCell ref="A171:L171"/>
    <mergeCell ref="A172:L172"/>
    <mergeCell ref="A173:L173"/>
    <mergeCell ref="A174:L174"/>
  </mergeCells>
  <printOptions horizontalCentered="1"/>
  <pageMargins left="0.5" right="0.5" top="0.5" bottom="0.75" header="0.3" footer="0.3"/>
  <pageSetup orientation="portrait" horizontalDpi="4294967295" verticalDpi="4294967295" r:id="rId1"/>
</worksheet>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2</vt:i4>
      </vt:variant>
    </vt:vector>
  </HeadingPairs>
  <TitlesOfParts>
    <vt:vector size="25" baseType="lpstr">
      <vt:lpstr>Note</vt:lpstr>
      <vt:lpstr>Table 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'T3'!Print_Area</vt:lpstr>
      <vt:lpstr>'T6'!Print_Area</vt:lpstr>
    </vt:vector>
  </TitlesOfParts>
  <Company>U.S.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Cement in 2023</dc:title>
  <dc:subject>USGS Minerals Yearbook</dc:subject>
  <dc:creator>USGS National Minerals Information Center</dc:creator>
  <cp:keywords>Cement; statistics</cp:keywords>
  <cp:lastModifiedBy>Etikala Narendar, Rakesh</cp:lastModifiedBy>
  <cp:lastPrinted>2025-06-02T15:44:59Z</cp:lastPrinted>
  <dcterms:created xsi:type="dcterms:W3CDTF">2016-06-07T19:18:24Z</dcterms:created>
  <dcterms:modified xsi:type="dcterms:W3CDTF">2026-01-18T12:01:42Z</dcterms:modified>
</cp:coreProperties>
</file>