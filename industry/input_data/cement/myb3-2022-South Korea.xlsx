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filterPrivacy="1"/>
  <xr:revisionPtr revIDLastSave="0" documentId="13_ncr:1_{E0E6E928-01F6-4F3A-B94C-D41F7C39FFF1}" xr6:coauthVersionLast="47" xr6:coauthVersionMax="47" xr10:uidLastSave="{00000000-0000-0000-0000-000000000000}"/>
  <bookViews>
    <workbookView xWindow="3795" yWindow="345" windowWidth="18885" windowHeight="14175" tabRatio="268" xr2:uid="{00000000-000D-0000-FFFF-FFFF00000000}"/>
  </bookViews>
  <sheets>
    <sheet name="Note" sheetId="9" r:id="rId1"/>
    <sheet name="Table 1" sheetId="8" r:id="rId2"/>
  </sheets>
  <externalReferences>
    <externalReference r:id="rId3"/>
  </externalReferences>
  <definedNames>
    <definedName name="_TBL1" localSheetId="1">#REF!</definedName>
    <definedName name="_TBL1">#REF!</definedName>
    <definedName name="_TBL10" localSheetId="1">#REF!</definedName>
    <definedName name="_TBL10">#REF!</definedName>
    <definedName name="_TBL11" localSheetId="1">#REF!</definedName>
    <definedName name="_TBL11">#REF!</definedName>
    <definedName name="_TBL12">#REF!</definedName>
    <definedName name="_TBL13">#REF!</definedName>
    <definedName name="_TBL14">#REF!</definedName>
    <definedName name="_TBL15">#REF!</definedName>
    <definedName name="_TBL16">#REF!</definedName>
    <definedName name="_TBL17">#REF!</definedName>
    <definedName name="_TBL18">#REF!</definedName>
    <definedName name="_TBL19">#REF!</definedName>
    <definedName name="_TBL2">#REF!</definedName>
    <definedName name="_TBL20">#REF!</definedName>
    <definedName name="_TBL21">#REF!</definedName>
    <definedName name="_TBL22">#REF!</definedName>
    <definedName name="_TBL23">#REF!</definedName>
    <definedName name="_TBL24">#REF!</definedName>
    <definedName name="_TBL25">#REF!</definedName>
    <definedName name="_TBL26">#REF!</definedName>
    <definedName name="_TBL27">#REF!</definedName>
    <definedName name="_TBL28">#REF!</definedName>
    <definedName name="_TBL29">#REF!</definedName>
    <definedName name="_TBL3">#REF!</definedName>
    <definedName name="_TBL30">#REF!</definedName>
    <definedName name="_TBL31">#REF!</definedName>
    <definedName name="_TBL32">#REF!</definedName>
    <definedName name="_TBL33">#REF!</definedName>
    <definedName name="_TBL4">#REF!</definedName>
    <definedName name="_TBL5">#REF!</definedName>
    <definedName name="_TBL6">#REF!</definedName>
    <definedName name="_TBL7">#REF!</definedName>
    <definedName name="_TBL8">#REF!</definedName>
    <definedName name="_TBL9">#REF!</definedName>
    <definedName name="a1tol305">[1]Sheet1!#REF!</definedName>
    <definedName name="a1tol308">[1]Sheet1!#REF!</definedName>
    <definedName name="ch">#REF!</definedName>
    <definedName name="Print_Area_MI" localSheetId="1">#REF!</definedName>
    <definedName name="Print_Area_MI">#REF!</definedName>
  </definedNames>
  <calcPr calcId="191028"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4" i="8" l="1"/>
  <c r="G18" i="8"/>
</calcChain>
</file>

<file path=xl/sharedStrings.xml><?xml version="1.0" encoding="utf-8"?>
<sst xmlns="http://schemas.openxmlformats.org/spreadsheetml/2006/main" count="166" uniqueCount="109">
  <si>
    <t>TABLE 1</t>
  </si>
  <si>
    <r>
      <t>REPUBLIC OF KOREA: PRODUCTION OF MINERAL COMMODITIES</t>
    </r>
    <r>
      <rPr>
        <vertAlign val="superscript"/>
        <sz val="8"/>
        <color theme="1"/>
        <rFont val="Times New Roman"/>
        <family val="1"/>
      </rPr>
      <t>1</t>
    </r>
  </si>
  <si>
    <t>(Metric tons, gross weight, unless otherwise specified)</t>
  </si>
  <si>
    <r>
      <t>Commodity</t>
    </r>
    <r>
      <rPr>
        <vertAlign val="superscript"/>
        <sz val="8"/>
        <color theme="1"/>
        <rFont val="Times New Roman"/>
        <family val="1"/>
      </rPr>
      <t>2</t>
    </r>
  </si>
  <si>
    <t>2018</t>
  </si>
  <si>
    <t>2019</t>
  </si>
  <si>
    <t>2020</t>
  </si>
  <si>
    <t>2021</t>
  </si>
  <si>
    <t>METALS</t>
  </si>
  <si>
    <r>
      <t>Bismuth, refinery, Bi content</t>
    </r>
    <r>
      <rPr>
        <vertAlign val="superscript"/>
        <sz val="8"/>
        <color theme="1"/>
        <rFont val="Times New Roman"/>
        <family val="1"/>
      </rPr>
      <t>3</t>
    </r>
  </si>
  <si>
    <t>e</t>
  </si>
  <si>
    <t>Cadmium, refinery, primary</t>
  </si>
  <si>
    <t>Copper:</t>
  </si>
  <si>
    <t>--</t>
  </si>
  <si>
    <t>Smelter:</t>
  </si>
  <si>
    <t>Primary</t>
  </si>
  <si>
    <t>Secondary</t>
  </si>
  <si>
    <t>Total</t>
  </si>
  <si>
    <t>Refinery:</t>
  </si>
  <si>
    <t>Ferroalloys:</t>
  </si>
  <si>
    <t>Ferromanganese</t>
  </si>
  <si>
    <t>r</t>
  </si>
  <si>
    <t>Ferronickel:</t>
  </si>
  <si>
    <t>Gross weight</t>
  </si>
  <si>
    <t>Ni content</t>
  </si>
  <si>
    <r>
      <t>Ferrosilicon</t>
    </r>
    <r>
      <rPr>
        <vertAlign val="superscript"/>
        <sz val="8"/>
        <color theme="1"/>
        <rFont val="Times New Roman"/>
        <family val="1"/>
      </rPr>
      <t>e</t>
    </r>
  </si>
  <si>
    <t>Silicomanganese</t>
  </si>
  <si>
    <r>
      <t>Gallium</t>
    </r>
    <r>
      <rPr>
        <vertAlign val="superscript"/>
        <sz val="8"/>
        <color theme="1"/>
        <rFont val="Times New Roman"/>
        <family val="1"/>
      </rPr>
      <t>e</t>
    </r>
  </si>
  <si>
    <t>kilograms</t>
  </si>
  <si>
    <t>Gold:</t>
  </si>
  <si>
    <t>Mine, Au content</t>
  </si>
  <si>
    <t>do.</t>
  </si>
  <si>
    <t>Refinery, bullion</t>
  </si>
  <si>
    <r>
      <t>Indium, refinery, primary, In content</t>
    </r>
    <r>
      <rPr>
        <vertAlign val="superscript"/>
        <sz val="8"/>
        <color theme="1"/>
        <rFont val="Times New Roman"/>
        <family val="1"/>
      </rPr>
      <t>e</t>
    </r>
  </si>
  <si>
    <t>Iron ore, mine:</t>
  </si>
  <si>
    <t>thousand metric tons</t>
  </si>
  <si>
    <t>Fe content</t>
  </si>
  <si>
    <t>Iron and steel:</t>
  </si>
  <si>
    <t>Pig iron</t>
  </si>
  <si>
    <t>Steel:</t>
  </si>
  <si>
    <t>Raw steel</t>
  </si>
  <si>
    <t>Products, rolled</t>
  </si>
  <si>
    <t>Lead:</t>
  </si>
  <si>
    <t>Mine, Pb content</t>
  </si>
  <si>
    <t>Molybdenum, mine, Mo content</t>
  </si>
  <si>
    <r>
      <t>Rhenium, refinery, NH</t>
    </r>
    <r>
      <rPr>
        <vertAlign val="subscript"/>
        <sz val="8"/>
        <color theme="1"/>
        <rFont val="Times New Roman"/>
        <family val="1"/>
      </rPr>
      <t>4</t>
    </r>
    <r>
      <rPr>
        <sz val="8"/>
        <color theme="1"/>
        <rFont val="Times New Roman"/>
        <family val="1"/>
      </rPr>
      <t>ReO</t>
    </r>
    <r>
      <rPr>
        <vertAlign val="subscript"/>
        <sz val="8"/>
        <color theme="1"/>
        <rFont val="Times New Roman"/>
        <family val="1"/>
      </rPr>
      <t>4</t>
    </r>
    <r>
      <rPr>
        <sz val="8"/>
        <color theme="1"/>
        <rFont val="Times New Roman"/>
        <family val="1"/>
      </rPr>
      <t xml:space="preserve">, Re content </t>
    </r>
  </si>
  <si>
    <t>Silver:</t>
  </si>
  <si>
    <t>Mine, Ag content</t>
  </si>
  <si>
    <t>Titanium, titaniferous magnetite</t>
  </si>
  <si>
    <t>Zinc:</t>
  </si>
  <si>
    <t>Mine, Zn content</t>
  </si>
  <si>
    <t>Smelter, primary</t>
  </si>
  <si>
    <t>INDUSTRIAL MINERALS</t>
  </si>
  <si>
    <t>Cement:</t>
  </si>
  <si>
    <t>Clinker</t>
  </si>
  <si>
    <t>Hydraulic</t>
  </si>
  <si>
    <t>Calcite</t>
  </si>
  <si>
    <t>Clay:</t>
  </si>
  <si>
    <t>Bentonite</t>
  </si>
  <si>
    <t>Fuller's earth</t>
  </si>
  <si>
    <t>Kaolin</t>
  </si>
  <si>
    <t>Pottery</t>
  </si>
  <si>
    <t>Unspecified</t>
  </si>
  <si>
    <t>Diatomite, diatomaceous earth</t>
  </si>
  <si>
    <t>Feldspar</t>
  </si>
  <si>
    <r>
      <t>Lime</t>
    </r>
    <r>
      <rPr>
        <vertAlign val="superscript"/>
        <sz val="8"/>
        <color theme="1"/>
        <rFont val="Times New Roman"/>
        <family val="1"/>
      </rPr>
      <t>e</t>
    </r>
  </si>
  <si>
    <t>Mica, all grades</t>
  </si>
  <si>
    <t>Salt, sea salt</t>
  </si>
  <si>
    <t>Quartzite</t>
  </si>
  <si>
    <t>Stone, sand, and gravel, construction:</t>
  </si>
  <si>
    <r>
      <t>Sand and gravel</t>
    </r>
    <r>
      <rPr>
        <vertAlign val="superscript"/>
        <sz val="8"/>
        <color theme="1"/>
        <rFont val="Times New Roman"/>
        <family val="1"/>
      </rPr>
      <t>e</t>
    </r>
  </si>
  <si>
    <t>Dolomite</t>
  </si>
  <si>
    <t>Limestone</t>
  </si>
  <si>
    <t>Marble</t>
  </si>
  <si>
    <t>Talc and related minerals:</t>
  </si>
  <si>
    <t>Pyrophyllite</t>
  </si>
  <si>
    <t xml:space="preserve">Talc </t>
  </si>
  <si>
    <t>Zeolites</t>
  </si>
  <si>
    <t>MINERAL FUELS AND RELATED MATERIALS</t>
  </si>
  <si>
    <t>Coal, anthracite</t>
  </si>
  <si>
    <t>Coke, metallurgical</t>
  </si>
  <si>
    <t>Natural gas, marketable</t>
  </si>
  <si>
    <t>million cubic meters</t>
  </si>
  <si>
    <t>Petroleum:</t>
  </si>
  <si>
    <t>Crude</t>
  </si>
  <si>
    <t>thousand 42-gallon barrels</t>
  </si>
  <si>
    <r>
      <rPr>
        <vertAlign val="superscript"/>
        <sz val="8"/>
        <color theme="1"/>
        <rFont val="Times New Roman"/>
        <family val="1"/>
      </rPr>
      <t>3</t>
    </r>
    <r>
      <rPr>
        <sz val="8"/>
        <color theme="1"/>
        <rFont val="Times New Roman"/>
        <family val="1"/>
      </rPr>
      <t>Refined bismuth was produced as a byproduct of zinc production.</t>
    </r>
  </si>
  <si>
    <t>Graphite:</t>
  </si>
  <si>
    <t>2022</t>
  </si>
  <si>
    <t>r, e</t>
  </si>
  <si>
    <t>Amorphous</t>
  </si>
  <si>
    <t>Crystalline flake</t>
  </si>
  <si>
    <t>Sand and gravel, industrial, silica</t>
  </si>
  <si>
    <r>
      <t>1</t>
    </r>
    <r>
      <rPr>
        <sz val="8"/>
        <color theme="1"/>
        <rFont val="Times New Roman"/>
        <family val="1"/>
      </rPr>
      <t>Table includes data available through November 2, 2023. All data are reported unless otherwise noted. Totals and estimated data are rounded to no more than three significant digits; may not add to totals shown.</t>
    </r>
  </si>
  <si>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do. Ditto.  -- Zero.</t>
    </r>
  </si>
  <si>
    <t>Refinery</t>
  </si>
  <si>
    <t>Stone, crushed:</t>
  </si>
  <si>
    <t>Refinery, products</t>
  </si>
  <si>
    <r>
      <rPr>
        <vertAlign val="superscript"/>
        <sz val="8"/>
        <color theme="1"/>
        <rFont val="Times New Roman"/>
        <family val="1"/>
      </rPr>
      <t>2</t>
    </r>
    <r>
      <rPr>
        <sz val="8"/>
        <color theme="1"/>
        <rFont val="Times New Roman"/>
        <family val="1"/>
      </rPr>
      <t>In addition to the commodities listed, antimony (refined), cobalt sulfate, ferromolybdenum, ferrovanadium, ferrotungsten, lithium compounds, molybdenum (refined), neodymium, nephrite, nickel chemicals and metal, palladium-platinum (refined), phosphate rock, secondary iron, silicon metal, sulfur (byproduct of metallurgy and petroleum), thorium, and titanium dioxide may have been produced, but available information was inadequate to make reliable estimates of output.</t>
    </r>
  </si>
  <si>
    <t>Advance Data Release of the</t>
  </si>
  <si>
    <t>2022 Annual Tables</t>
  </si>
  <si>
    <t>These tables are an advance data release of those to be</t>
  </si>
  <si>
    <t>incorporated in the USGS Minerals Yearbook 2022,</t>
  </si>
  <si>
    <t xml:space="preserve">v. III, International. The full report (text and tables) </t>
  </si>
  <si>
    <t xml:space="preserve">will be released when publication layout is complete. </t>
  </si>
  <si>
    <t>Substantive changes to tables are not anticipated, but</t>
  </si>
  <si>
    <t xml:space="preserve"> would be incorporated into the full report, which will </t>
  </si>
  <si>
    <t>replace these advance data release tables.</t>
  </si>
  <si>
    <t>Posted: March 26,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</si>
</sst>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7" x14ac:knownFonts="1">
    <font>
      <sz val="10"/>
      <color rgb="FF000000"/>
      <name val="Arial"/>
    </font>
    <font>
      <sz val="11"/>
      <color theme="1"/>
      <name val="Calibri"/>
      <family val="2"/>
      <scheme val="minor"/>
    </font>
    <font>
      <sz val="11"/>
      <color theme="1"/>
      <name val="Calibri"/>
      <family val="2"/>
      <scheme val="minor"/>
    </font>
    <font>
      <sz val="11"/>
      <color theme="1"/>
      <name val="Calibri"/>
      <family val="2"/>
      <scheme val="minor"/>
    </font>
    <font>
      <sz val="12"/>
      <name val="Arial"/>
      <family val="2"/>
    </font>
    <font>
      <sz val="8"/>
      <color theme="1"/>
      <name val="Times New Roman"/>
      <family val="1"/>
    </font>
    <font>
      <sz val="12"/>
      <color theme="1"/>
      <name val="Calibri"/>
      <family val="2"/>
      <scheme val="minor"/>
    </font>
    <font>
      <vertAlign val="superscript"/>
      <sz val="8"/>
      <color theme="1"/>
      <name val="Times New Roman"/>
      <family val="1"/>
    </font>
    <font>
      <sz val="10"/>
      <color rgb="FF000000"/>
      <name val="Arial"/>
      <family val="2"/>
    </font>
    <font>
      <vertAlign val="subscript"/>
      <sz val="8"/>
      <color theme="1"/>
      <name val="Times New Roman"/>
      <family val="1"/>
    </font>
    <font>
      <sz val="8"/>
      <name val="Times New Roman"/>
      <family val="1"/>
    </font>
    <font>
      <b/>
      <u/>
      <sz val="24"/>
      <color rgb="FF000000"/>
      <name val="Times New Roman"/>
      <family val="1"/>
    </font>
    <font>
      <b/>
      <u/>
      <sz val="36"/>
      <color rgb="FF000000"/>
      <name val="Times New Roman"/>
      <family val="1"/>
    </font>
    <font>
      <sz val="18"/>
      <color theme="1"/>
      <name val="Times New Roman"/>
      <family val="1"/>
    </font>
    <font>
      <sz val="18"/>
      <color theme="1"/>
      <name val="Calibri"/>
      <family val="2"/>
      <scheme val="minor"/>
    </font>
    <font>
      <sz val="18"/>
      <color rgb="FF000000"/>
      <name val="Times New Roman"/>
      <family val="1"/>
    </font>
    <font>
      <sz val="14"/>
      <color rgb="FF000000"/>
      <name val="Times New Roman"/>
      <family val="1"/>
    </font>
  </fonts>
  <fills count="3">
    <fill>
      <patternFill patternType="none"/>
    </fill>
    <fill>
      <patternFill patternType="gray125"/>
    </fill>
    <fill>
      <patternFill patternType="solid">
        <fgColor rgb="FFFFFFCC"/>
        <bgColor indexed="64"/>
      </patternFill>
    </fill>
  </fills>
  <borders count="13">
    <border>
      <left/>
      <right/>
      <top/>
      <bottom/>
      <diagonal/>
    </border>
    <border>
      <left/>
      <right/>
      <top style="hair">
        <color rgb="FF000000"/>
      </top>
      <bottom style="hair">
        <color rgb="FF000000"/>
      </bottom>
      <diagonal/>
    </border>
    <border>
      <left/>
      <right/>
      <top/>
      <bottom style="thin">
        <color indexed="64"/>
      </bottom>
      <diagonal/>
    </border>
    <border>
      <left/>
      <right/>
      <top style="thin">
        <color auto="1"/>
      </top>
      <bottom/>
      <diagonal/>
    </border>
    <border>
      <left/>
      <right/>
      <top style="hair">
        <color auto="1"/>
      </top>
      <bottom/>
      <diagonal/>
    </border>
    <border>
      <left/>
      <right/>
      <top/>
      <bottom style="hair">
        <color auto="1"/>
      </bottom>
      <diagonal/>
    </border>
    <border>
      <left/>
      <right/>
      <top style="hair">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3">
    <xf numFmtId="0" fontId="0" fillId="0" borderId="0"/>
    <xf numFmtId="0" fontId="3" fillId="0" borderId="0"/>
    <xf numFmtId="37" fontId="4" fillId="0" borderId="0"/>
    <xf numFmtId="0" fontId="3" fillId="0" borderId="0"/>
    <xf numFmtId="0" fontId="4" fillId="0" borderId="0"/>
    <xf numFmtId="0" fontId="6" fillId="0" borderId="0"/>
    <xf numFmtId="43" fontId="6" fillId="0" borderId="0" applyFont="0" applyFill="0" applyBorder="0" applyAlignment="0" applyProtection="0"/>
    <xf numFmtId="0" fontId="8" fillId="0" borderId="0"/>
    <xf numFmtId="0" fontId="2" fillId="0" borderId="0"/>
    <xf numFmtId="0" fontId="2" fillId="0" borderId="0"/>
    <xf numFmtId="9" fontId="8" fillId="0" borderId="0" applyFont="0" applyFill="0" applyBorder="0" applyAlignment="0" applyProtection="0"/>
    <xf numFmtId="0" fontId="10" fillId="0" borderId="0"/>
    <xf numFmtId="0" fontId="1" fillId="0" borderId="0"/>
  </cellStyleXfs>
  <cellXfs count="63">
    <xf numFmtId="0" fontId="0" fillId="0" borderId="0" xfId="0" applyFont="1" applyAlignment="1"/>
    <xf numFmtId="0" fontId="5" fillId="0" borderId="0" xfId="5" applyFont="1" applyFill="1" applyAlignment="1">
      <alignment vertical="center"/>
    </xf>
    <xf numFmtId="0" fontId="5" fillId="0" borderId="0" xfId="5" applyFont="1" applyFill="1" applyAlignment="1">
      <alignment horizontal="left" vertical="center"/>
    </xf>
    <xf numFmtId="0" fontId="5" fillId="0" borderId="0" xfId="5" applyFont="1" applyFill="1" applyAlignment="1">
      <alignment horizontal="right" vertical="center"/>
    </xf>
    <xf numFmtId="3" fontId="5" fillId="0" borderId="0" xfId="6" applyNumberFormat="1" applyFont="1" applyFill="1" applyAlignment="1">
      <alignment horizontal="right" vertical="center"/>
    </xf>
    <xf numFmtId="49" fontId="7" fillId="0" borderId="0" xfId="5" applyNumberFormat="1" applyFont="1" applyFill="1" applyAlignment="1">
      <alignment horizontal="left" vertical="center"/>
    </xf>
    <xf numFmtId="3" fontId="5" fillId="0" borderId="3" xfId="6" applyNumberFormat="1" applyFont="1" applyFill="1" applyBorder="1" applyAlignment="1">
      <alignment horizontal="right" vertical="center"/>
    </xf>
    <xf numFmtId="49" fontId="7" fillId="0" borderId="3" xfId="5" applyNumberFormat="1" applyFont="1" applyFill="1" applyBorder="1" applyAlignment="1">
      <alignment horizontal="left" vertical="center"/>
    </xf>
    <xf numFmtId="3" fontId="5" fillId="0" borderId="0" xfId="6" applyNumberFormat="1" applyFont="1" applyFill="1" applyBorder="1" applyAlignment="1">
      <alignment horizontal="right" vertical="center"/>
    </xf>
    <xf numFmtId="49" fontId="5" fillId="0" borderId="0" xfId="5" applyNumberFormat="1" applyFont="1" applyFill="1" applyAlignment="1">
      <alignment horizontal="left" vertical="center" indent="3"/>
    </xf>
    <xf numFmtId="3" fontId="5" fillId="0" borderId="2" xfId="6" applyNumberFormat="1" applyFont="1" applyFill="1" applyBorder="1" applyAlignment="1">
      <alignment horizontal="right" vertical="center"/>
    </xf>
    <xf numFmtId="49" fontId="7" fillId="0" borderId="2" xfId="5" applyNumberFormat="1" applyFont="1" applyFill="1" applyBorder="1" applyAlignment="1">
      <alignment horizontal="left" vertical="center"/>
    </xf>
    <xf numFmtId="49" fontId="5" fillId="0" borderId="0" xfId="5" applyNumberFormat="1" applyFont="1" applyFill="1" applyAlignment="1">
      <alignment vertical="center"/>
    </xf>
    <xf numFmtId="3" fontId="5" fillId="0" borderId="0" xfId="5" applyNumberFormat="1" applyFont="1" applyFill="1" applyAlignment="1">
      <alignment vertical="center"/>
    </xf>
    <xf numFmtId="49" fontId="5" fillId="0" borderId="0" xfId="6" applyNumberFormat="1" applyFont="1" applyFill="1" applyAlignment="1">
      <alignment horizontal="right" vertical="center"/>
    </xf>
    <xf numFmtId="3" fontId="5" fillId="0" borderId="0" xfId="6" applyNumberFormat="1" applyFont="1" applyFill="1" applyAlignment="1">
      <alignment horizontal="left" vertical="center"/>
    </xf>
    <xf numFmtId="3" fontId="5" fillId="0" borderId="5" xfId="6" applyNumberFormat="1" applyFont="1" applyFill="1" applyBorder="1" applyAlignment="1">
      <alignment horizontal="right" vertical="center"/>
    </xf>
    <xf numFmtId="49" fontId="7" fillId="0" borderId="5" xfId="5" applyNumberFormat="1" applyFont="1" applyFill="1" applyBorder="1" applyAlignment="1">
      <alignment horizontal="left" vertical="center"/>
    </xf>
    <xf numFmtId="49" fontId="5" fillId="0" borderId="1" xfId="7" applyNumberFormat="1" applyFont="1" applyFill="1" applyBorder="1" applyAlignment="1">
      <alignment vertical="center"/>
    </xf>
    <xf numFmtId="49" fontId="5" fillId="0" borderId="1" xfId="7" applyNumberFormat="1" applyFont="1" applyFill="1" applyBorder="1" applyAlignment="1">
      <alignment horizontal="left" vertical="center" indent="1"/>
    </xf>
    <xf numFmtId="49" fontId="5" fillId="0" borderId="1" xfId="7" applyNumberFormat="1" applyFont="1" applyFill="1" applyBorder="1" applyAlignment="1">
      <alignment horizontal="left" vertical="center" indent="2"/>
    </xf>
    <xf numFmtId="49" fontId="5" fillId="0" borderId="6" xfId="6" applyNumberFormat="1" applyFont="1" applyFill="1" applyBorder="1" applyAlignment="1">
      <alignment horizontal="right" vertical="center"/>
    </xf>
    <xf numFmtId="49" fontId="5" fillId="0" borderId="6" xfId="5" applyNumberFormat="1" applyFont="1" applyFill="1" applyBorder="1" applyAlignment="1">
      <alignment horizontal="right" vertical="center"/>
    </xf>
    <xf numFmtId="49" fontId="7" fillId="0" borderId="6" xfId="5" applyNumberFormat="1" applyFont="1" applyFill="1" applyBorder="1" applyAlignment="1">
      <alignment horizontal="left" vertical="center"/>
    </xf>
    <xf numFmtId="49" fontId="5" fillId="0" borderId="6" xfId="5" applyNumberFormat="1" applyFont="1" applyFill="1" applyBorder="1" applyAlignment="1">
      <alignment horizontal="left" vertical="center"/>
    </xf>
    <xf numFmtId="49" fontId="5" fillId="0" borderId="6" xfId="5" applyNumberFormat="1" applyFont="1" applyFill="1" applyBorder="1" applyAlignment="1">
      <alignment horizontal="left" vertical="center" indent="1"/>
    </xf>
    <xf numFmtId="49" fontId="5" fillId="0" borderId="6" xfId="5" applyNumberFormat="1" applyFont="1" applyFill="1" applyBorder="1" applyAlignment="1">
      <alignment horizontal="left" vertical="center" indent="2"/>
    </xf>
    <xf numFmtId="49" fontId="5" fillId="0" borderId="6" xfId="7" applyNumberFormat="1" applyFont="1" applyFill="1" applyBorder="1" applyAlignment="1">
      <alignment horizontal="left" vertical="center"/>
    </xf>
    <xf numFmtId="49" fontId="7" fillId="0" borderId="0" xfId="5" applyNumberFormat="1" applyFont="1" applyFill="1" applyAlignment="1">
      <alignment horizontal="right" vertical="center"/>
    </xf>
    <xf numFmtId="2" fontId="5" fillId="0" borderId="6" xfId="5" applyNumberFormat="1" applyFont="1" applyFill="1" applyBorder="1" applyAlignment="1">
      <alignment horizontal="left" vertical="center" indent="1"/>
    </xf>
    <xf numFmtId="49" fontId="5" fillId="0" borderId="0" xfId="5" applyNumberFormat="1" applyFont="1" applyFill="1" applyAlignment="1">
      <alignment horizontal="left" vertical="center"/>
    </xf>
    <xf numFmtId="49" fontId="6" fillId="0" borderId="0" xfId="5" applyNumberFormat="1" applyFont="1" applyFill="1" applyAlignment="1">
      <alignment vertical="center"/>
    </xf>
    <xf numFmtId="49" fontId="5" fillId="0" borderId="6" xfId="5" applyNumberFormat="1" applyFont="1" applyFill="1" applyBorder="1" applyAlignment="1">
      <alignment horizontal="center" vertical="center"/>
    </xf>
    <xf numFmtId="49" fontId="7" fillId="0" borderId="4" xfId="5" applyNumberFormat="1" applyFont="1" applyFill="1" applyBorder="1" applyAlignment="1">
      <alignment horizontal="left" vertical="center"/>
    </xf>
    <xf numFmtId="49" fontId="6" fillId="0" borderId="4" xfId="5" applyNumberFormat="1" applyFont="1" applyFill="1" applyBorder="1" applyAlignment="1">
      <alignment vertical="center"/>
    </xf>
    <xf numFmtId="49" fontId="7" fillId="0" borderId="0" xfId="5" applyNumberFormat="1" applyFont="1" applyFill="1" applyAlignment="1">
      <alignment horizontal="left" vertical="center" wrapText="1"/>
    </xf>
    <xf numFmtId="49" fontId="6" fillId="0" borderId="0" xfId="5" applyNumberFormat="1" applyFont="1" applyFill="1" applyAlignment="1">
      <alignment vertical="center" wrapText="1"/>
    </xf>
    <xf numFmtId="49" fontId="5" fillId="0" borderId="0" xfId="5" applyNumberFormat="1" applyFont="1" applyFill="1" applyAlignment="1">
      <alignment horizontal="left" vertical="center" wrapText="1"/>
    </xf>
    <xf numFmtId="49" fontId="5" fillId="0" borderId="0" xfId="5" applyNumberFormat="1" applyFont="1" applyFill="1" applyAlignment="1">
      <alignment horizontal="center" vertical="center"/>
    </xf>
    <xf numFmtId="49" fontId="5" fillId="0" borderId="0" xfId="7" applyNumberFormat="1" applyFont="1" applyFill="1" applyAlignment="1">
      <alignment horizontal="center" vertical="center"/>
    </xf>
    <xf numFmtId="49" fontId="6" fillId="0" borderId="0" xfId="5" applyNumberFormat="1" applyFont="1" applyFill="1" applyAlignment="1">
      <alignment horizontal="center" vertical="center"/>
    </xf>
    <xf numFmtId="49" fontId="5" fillId="0" borderId="5" xfId="5" applyNumberFormat="1" applyFont="1" applyFill="1" applyBorder="1" applyAlignment="1">
      <alignment horizontal="center" vertical="center"/>
    </xf>
    <xf numFmtId="49" fontId="6" fillId="0" borderId="5" xfId="5" applyNumberFormat="1" applyFont="1" applyFill="1" applyBorder="1" applyAlignment="1">
      <alignment horizontal="center" vertical="center"/>
    </xf>
    <xf numFmtId="0" fontId="11" fillId="2" borderId="7" xfId="11" applyFont="1" applyFill="1" applyBorder="1" applyAlignment="1">
      <alignment horizontal="center"/>
    </xf>
    <xf numFmtId="0" fontId="11" fillId="2" borderId="3" xfId="11" applyFont="1" applyFill="1" applyBorder="1" applyAlignment="1">
      <alignment horizontal="center"/>
    </xf>
    <xf numFmtId="0" fontId="11" fillId="2" borderId="8" xfId="11" applyFont="1" applyFill="1" applyBorder="1" applyAlignment="1">
      <alignment horizontal="center"/>
    </xf>
    <xf numFmtId="0" fontId="1" fillId="0" borderId="0" xfId="12"/>
    <xf numFmtId="0" fontId="12" fillId="2" borderId="9" xfId="11" applyFont="1" applyFill="1" applyBorder="1" applyAlignment="1">
      <alignment horizontal="center"/>
    </xf>
    <xf numFmtId="0" fontId="12" fillId="2" borderId="0" xfId="11" applyFont="1" applyFill="1" applyAlignment="1">
      <alignment horizontal="center"/>
    </xf>
    <xf numFmtId="0" fontId="12" fillId="2" borderId="10" xfId="11" applyFont="1" applyFill="1" applyBorder="1" applyAlignment="1">
      <alignment horizontal="center"/>
    </xf>
    <xf numFmtId="0" fontId="13" fillId="2" borderId="9" xfId="12" applyFont="1" applyFill="1" applyBorder="1" applyAlignment="1">
      <alignment horizontal="center"/>
    </xf>
    <xf numFmtId="0" fontId="13" fillId="2" borderId="0" xfId="12" applyFont="1" applyFill="1" applyAlignment="1">
      <alignment horizontal="center"/>
    </xf>
    <xf numFmtId="0" fontId="13" fillId="2" borderId="10" xfId="12" applyFont="1" applyFill="1" applyBorder="1" applyAlignment="1">
      <alignment horizontal="center"/>
    </xf>
    <xf numFmtId="0" fontId="14" fillId="0" borderId="0" xfId="12" applyFont="1" applyAlignment="1">
      <alignment horizontal="left"/>
    </xf>
    <xf numFmtId="0" fontId="15" fillId="2" borderId="9" xfId="12" applyFont="1" applyFill="1" applyBorder="1" applyAlignment="1">
      <alignment horizontal="center" vertical="center" wrapText="1" readingOrder="1"/>
    </xf>
    <xf numFmtId="0" fontId="15" fillId="2" borderId="0" xfId="12" applyFont="1" applyFill="1" applyAlignment="1">
      <alignment horizontal="center" vertical="center" wrapText="1" readingOrder="1"/>
    </xf>
    <xf numFmtId="0" fontId="15" fillId="2" borderId="10" xfId="12" applyFont="1" applyFill="1" applyBorder="1" applyAlignment="1">
      <alignment horizontal="center" vertical="center" wrapText="1" readingOrder="1"/>
    </xf>
    <xf numFmtId="0" fontId="16" fillId="2" borderId="9" xfId="12" applyFont="1" applyFill="1" applyBorder="1" applyAlignment="1">
      <alignment horizontal="center" vertical="center" readingOrder="1"/>
    </xf>
    <xf numFmtId="0" fontId="16" fillId="2" borderId="0" xfId="12" applyFont="1" applyFill="1" applyAlignment="1">
      <alignment horizontal="center" vertical="center" readingOrder="1"/>
    </xf>
    <xf numFmtId="0" fontId="16" fillId="2" borderId="10" xfId="12" applyFont="1" applyFill="1" applyBorder="1" applyAlignment="1">
      <alignment horizontal="center" vertical="center" readingOrder="1"/>
    </xf>
    <xf numFmtId="0" fontId="15" fillId="2" borderId="11" xfId="12" applyFont="1" applyFill="1" applyBorder="1" applyAlignment="1">
      <alignment horizontal="centerContinuous" vertical="center" readingOrder="1"/>
    </xf>
    <xf numFmtId="0" fontId="1" fillId="2" borderId="2" xfId="12" applyFill="1" applyBorder="1" applyAlignment="1">
      <alignment horizontal="centerContinuous"/>
    </xf>
    <xf numFmtId="0" fontId="1" fillId="2" borderId="12" xfId="12" applyFill="1" applyBorder="1" applyAlignment="1">
      <alignment horizontal="centerContinuous"/>
    </xf>
  </cellXfs>
  <cellStyles count="13">
    <cellStyle name="Comma 2" xfId="6" xr:uid="{186A244C-0BAD-4D8D-9392-9DD63639BE85}"/>
    <cellStyle name="Normal" xfId="0" builtinId="0"/>
    <cellStyle name="Normal 2" xfId="5" xr:uid="{7A2A29F3-592D-4A54-922A-F79507EDA43B}"/>
    <cellStyle name="Normal 2 2" xfId="3" xr:uid="{00000000-0005-0000-0000-000001000000}"/>
    <cellStyle name="Normal 2 2 2" xfId="9" xr:uid="{D9541F14-5F91-46E9-AACB-CCFD7D0BF1FE}"/>
    <cellStyle name="Normal 2 2 5" xfId="2" xr:uid="{00000000-0005-0000-0000-000002000000}"/>
    <cellStyle name="Normal 2 3" xfId="7" xr:uid="{C582C22B-49A1-417A-B7D6-C9A08DE95E58}"/>
    <cellStyle name="Normal 3" xfId="4" xr:uid="{00000000-0005-0000-0000-000003000000}"/>
    <cellStyle name="Normal 4" xfId="11" xr:uid="{411805FF-CA75-4FF2-808A-8D896126462A}"/>
    <cellStyle name="Normal 4 2" xfId="1" xr:uid="{00000000-0005-0000-0000-000004000000}"/>
    <cellStyle name="Normal 4 2 2" xfId="8" xr:uid="{3DF757B5-841A-43C4-A92C-E700C509D586}"/>
    <cellStyle name="Normal 4 3" xfId="12" xr:uid="{100427BC-166A-4096-9C7B-EE92BE5BA2B9}"/>
    <cellStyle name="Percent 2" xfId="10" xr:uid="{ACDB7624-4778-4FA4-BE6C-1755B8EA4E3F}"/>
  </cellStyles>
  <dxfs count="0"/>
  <tableStyles count="0" defaultTableStyle="TableStyleMedium2" defaultPivotStyle="PivotStyleLight16"/>
  <colors>
    <mruColors>
      <color rgb="FFFF7C80"/>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283845</xdr:colOff>
      <xdr:row>2</xdr:row>
      <xdr:rowOff>171605</xdr:rowOff>
    </xdr:to>
    <xdr:pic>
      <xdr:nvPicPr>
        <xdr:cNvPr id="2" name="Picture 1" title="USGS logo">
          <a:extLst>
            <a:ext uri="{FF2B5EF4-FFF2-40B4-BE49-F238E27FC236}">
              <a16:creationId xmlns:a16="http://schemas.microsoft.com/office/drawing/2014/main" id="{D68F1B50-C529-4C4E-8DAC-605B9D99CBA1}"/>
            </a:ext>
          </a:extLst>
        </xdr:cNvPr>
        <xdr:cNvPicPr>
          <a:picLocks noChangeAspect="1"/>
        </xdr:cNvPicPr>
      </xdr:nvPicPr>
      <xdr:blipFill>
        <a:blip xmlns:r="http://schemas.openxmlformats.org/officeDocument/2006/relationships" r:embed="rId1"/>
        <a:stretch>
          <a:fillRect/>
        </a:stretch>
      </xdr:blipFill>
      <xdr:spPr>
        <a:xfrm>
          <a:off x="0" y="0"/>
          <a:ext cx="1407795" cy="5526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minerals.usgs.gov/minerals/pubs/country/2006/JPEX2004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s>
    <sheetDataSet>
      <sheetData sheetId="0"/>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F3C2C-D116-45A0-9D3E-C81246A06970}">
  <sheetPr>
    <tabColor theme="0"/>
  </sheetPr>
  <dimension ref="A5:L16"/>
  <sheetViews>
    <sheetView showGridLines="0" tabSelected="1" workbookViewId="0">
      <selection activeCell="A15" sqref="A15:L15"/>
    </sheetView>
  </sheetViews>
  <sheetFormatPr defaultColWidth="8.42578125" defaultRowHeight="15" x14ac:dyDescent="0.25"/>
  <cols>
    <col min="1" max="16384" width="8.42578125" style="46"/>
  </cols>
  <sheetData>
    <row r="5" spans="1:12" ht="42.75" customHeight="1" x14ac:dyDescent="0.4">
      <c r="A5" s="43" t="s">
        <v>99</v>
      </c>
      <c r="B5" s="44"/>
      <c r="C5" s="44"/>
      <c r="D5" s="44"/>
      <c r="E5" s="44"/>
      <c r="F5" s="44"/>
      <c r="G5" s="44"/>
      <c r="H5" s="44"/>
      <c r="I5" s="44"/>
      <c r="J5" s="44"/>
      <c r="K5" s="44"/>
      <c r="L5" s="45"/>
    </row>
    <row r="6" spans="1:12" ht="48" customHeight="1" x14ac:dyDescent="0.6">
      <c r="A6" s="47" t="s">
        <v>100</v>
      </c>
      <c r="B6" s="48"/>
      <c r="C6" s="48"/>
      <c r="D6" s="48"/>
      <c r="E6" s="48"/>
      <c r="F6" s="48"/>
      <c r="G6" s="48"/>
      <c r="H6" s="48"/>
      <c r="I6" s="48"/>
      <c r="J6" s="48"/>
      <c r="K6" s="48"/>
      <c r="L6" s="49"/>
    </row>
    <row r="7" spans="1:12" s="53" customFormat="1" ht="23.25" x14ac:dyDescent="0.35">
      <c r="A7" s="50" t="s">
        <v>101</v>
      </c>
      <c r="B7" s="51"/>
      <c r="C7" s="51"/>
      <c r="D7" s="51"/>
      <c r="E7" s="51"/>
      <c r="F7" s="51"/>
      <c r="G7" s="51"/>
      <c r="H7" s="51"/>
      <c r="I7" s="51"/>
      <c r="J7" s="51"/>
      <c r="K7" s="51"/>
      <c r="L7" s="52"/>
    </row>
    <row r="8" spans="1:12" s="53" customFormat="1" ht="23.25" x14ac:dyDescent="0.35">
      <c r="A8" s="50" t="s">
        <v>102</v>
      </c>
      <c r="B8" s="51"/>
      <c r="C8" s="51"/>
      <c r="D8" s="51"/>
      <c r="E8" s="51"/>
      <c r="F8" s="51"/>
      <c r="G8" s="51"/>
      <c r="H8" s="51"/>
      <c r="I8" s="51"/>
      <c r="J8" s="51"/>
      <c r="K8" s="51"/>
      <c r="L8" s="52"/>
    </row>
    <row r="9" spans="1:12" s="53" customFormat="1" ht="23.25" x14ac:dyDescent="0.35">
      <c r="A9" s="50" t="s">
        <v>103</v>
      </c>
      <c r="B9" s="51"/>
      <c r="C9" s="51"/>
      <c r="D9" s="51"/>
      <c r="E9" s="51"/>
      <c r="F9" s="51"/>
      <c r="G9" s="51"/>
      <c r="H9" s="51"/>
      <c r="I9" s="51"/>
      <c r="J9" s="51"/>
      <c r="K9" s="51"/>
      <c r="L9" s="52"/>
    </row>
    <row r="10" spans="1:12" s="53" customFormat="1" ht="23.25" x14ac:dyDescent="0.35">
      <c r="A10" s="50" t="s">
        <v>104</v>
      </c>
      <c r="B10" s="51"/>
      <c r="C10" s="51"/>
      <c r="D10" s="51"/>
      <c r="E10" s="51"/>
      <c r="F10" s="51"/>
      <c r="G10" s="51"/>
      <c r="H10" s="51"/>
      <c r="I10" s="51"/>
      <c r="J10" s="51"/>
      <c r="K10" s="51"/>
      <c r="L10" s="52"/>
    </row>
    <row r="11" spans="1:12" s="53" customFormat="1" ht="23.25" x14ac:dyDescent="0.35">
      <c r="A11" s="50" t="s">
        <v>105</v>
      </c>
      <c r="B11" s="51"/>
      <c r="C11" s="51"/>
      <c r="D11" s="51"/>
      <c r="E11" s="51"/>
      <c r="F11" s="51"/>
      <c r="G11" s="51"/>
      <c r="H11" s="51"/>
      <c r="I11" s="51"/>
      <c r="J11" s="51"/>
      <c r="K11" s="51"/>
      <c r="L11" s="52"/>
    </row>
    <row r="12" spans="1:12" s="53" customFormat="1" ht="23.25" x14ac:dyDescent="0.35">
      <c r="A12" s="50" t="s">
        <v>106</v>
      </c>
      <c r="B12" s="51"/>
      <c r="C12" s="51"/>
      <c r="D12" s="51"/>
      <c r="E12" s="51"/>
      <c r="F12" s="51"/>
      <c r="G12" s="51"/>
      <c r="H12" s="51"/>
      <c r="I12" s="51"/>
      <c r="J12" s="51"/>
      <c r="K12" s="51"/>
      <c r="L12" s="52"/>
    </row>
    <row r="13" spans="1:12" s="53" customFormat="1" ht="23.25" x14ac:dyDescent="0.35">
      <c r="A13" s="50" t="s">
        <v>107</v>
      </c>
      <c r="B13" s="51"/>
      <c r="C13" s="51"/>
      <c r="D13" s="51"/>
      <c r="E13" s="51"/>
      <c r="F13" s="51"/>
      <c r="G13" s="51"/>
      <c r="H13" s="51"/>
      <c r="I13" s="51"/>
      <c r="J13" s="51"/>
      <c r="K13" s="51"/>
      <c r="L13" s="52"/>
    </row>
    <row r="14" spans="1:12" ht="23.45" customHeight="1" x14ac:dyDescent="0.25">
      <c r="A14" s="54"/>
      <c r="B14" s="55"/>
      <c r="C14" s="55"/>
      <c r="D14" s="55"/>
      <c r="E14" s="55"/>
      <c r="F14" s="55"/>
      <c r="G14" s="55"/>
      <c r="H14" s="55"/>
      <c r="I14" s="55"/>
      <c r="J14" s="55"/>
      <c r="K14" s="55"/>
      <c r="L14" s="56"/>
    </row>
    <row r="15" spans="1:12" ht="21" customHeight="1" x14ac:dyDescent="0.25">
      <c r="A15" s="57" t="s">
        <v>108</v>
      </c>
      <c r="B15" s="58"/>
      <c r="C15" s="58"/>
      <c r="D15" s="58"/>
      <c r="E15" s="58"/>
      <c r="F15" s="58"/>
      <c r="G15" s="58"/>
      <c r="H15" s="58"/>
      <c r="I15" s="58"/>
      <c r="J15" s="58"/>
      <c r="K15" s="58"/>
      <c r="L15" s="59"/>
    </row>
    <row r="16" spans="1:12" ht="23.25" x14ac:dyDescent="0.25">
      <c r="A16" s="60"/>
      <c r="B16" s="61"/>
      <c r="C16" s="61"/>
      <c r="D16" s="61"/>
      <c r="E16" s="61"/>
      <c r="F16" s="61"/>
      <c r="G16" s="61"/>
      <c r="H16" s="61"/>
      <c r="I16" s="61"/>
      <c r="J16" s="61"/>
      <c r="K16" s="61"/>
      <c r="L16" s="62"/>
    </row>
  </sheetData>
  <mergeCells count="10">
    <mergeCell ref="A11:L11"/>
    <mergeCell ref="A12:L12"/>
    <mergeCell ref="A13:L13"/>
    <mergeCell ref="A15:L15"/>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64A3B-C552-4C5F-A30D-6F3132B77F5F}">
  <sheetPr>
    <pageSetUpPr fitToPage="1"/>
  </sheetPr>
  <dimension ref="A1:N95"/>
  <sheetViews>
    <sheetView zoomScaleNormal="100" workbookViewId="0">
      <selection sqref="A1:N1"/>
    </sheetView>
  </sheetViews>
  <sheetFormatPr defaultColWidth="9.85546875" defaultRowHeight="11.45" customHeight="1" x14ac:dyDescent="0.2"/>
  <cols>
    <col min="1" max="1" width="22.42578125" style="2" customWidth="1"/>
    <col min="2" max="2" width="15.85546875" style="3" customWidth="1"/>
    <col min="3" max="4" width="1.85546875" style="3" customWidth="1"/>
    <col min="5" max="5" width="8.140625" style="4" customWidth="1"/>
    <col min="6" max="6" width="1.85546875" style="5" customWidth="1"/>
    <col min="7" max="7" width="8.140625" style="4" customWidth="1"/>
    <col min="8" max="8" width="1.85546875" style="5" customWidth="1"/>
    <col min="9" max="9" width="8.140625" style="4" customWidth="1"/>
    <col min="10" max="10" width="2.7109375" style="5" customWidth="1"/>
    <col min="11" max="11" width="8.140625" style="4" customWidth="1"/>
    <col min="12" max="12" width="1.85546875" style="5" customWidth="1"/>
    <col min="13" max="13" width="8.140625" style="4" customWidth="1"/>
    <col min="14" max="14" width="1.85546875" style="5" customWidth="1"/>
    <col min="15" max="16384" width="9.85546875" style="1"/>
  </cols>
  <sheetData>
    <row r="1" spans="1:14" ht="11.45" customHeight="1" x14ac:dyDescent="0.2">
      <c r="A1" s="38" t="s">
        <v>0</v>
      </c>
      <c r="B1" s="38"/>
      <c r="C1" s="38"/>
      <c r="D1" s="38"/>
      <c r="E1" s="38"/>
      <c r="F1" s="38"/>
      <c r="G1" s="38"/>
      <c r="H1" s="38"/>
      <c r="I1" s="38"/>
      <c r="J1" s="38"/>
      <c r="K1" s="38"/>
      <c r="L1" s="38"/>
      <c r="M1" s="38"/>
      <c r="N1" s="38"/>
    </row>
    <row r="2" spans="1:14" ht="11.45" customHeight="1" x14ac:dyDescent="0.2">
      <c r="A2" s="39" t="s">
        <v>1</v>
      </c>
      <c r="B2" s="39"/>
      <c r="C2" s="39"/>
      <c r="D2" s="39"/>
      <c r="E2" s="39"/>
      <c r="F2" s="39"/>
      <c r="G2" s="39"/>
      <c r="H2" s="39"/>
      <c r="I2" s="39"/>
      <c r="J2" s="39"/>
      <c r="K2" s="39"/>
      <c r="L2" s="39"/>
      <c r="M2" s="39"/>
      <c r="N2" s="39"/>
    </row>
    <row r="3" spans="1:14" ht="11.45" customHeight="1" x14ac:dyDescent="0.2">
      <c r="A3" s="38"/>
      <c r="B3" s="40"/>
      <c r="C3" s="40"/>
      <c r="D3" s="40"/>
      <c r="E3" s="40"/>
      <c r="F3" s="40"/>
      <c r="G3" s="40"/>
      <c r="H3" s="40"/>
      <c r="I3" s="40"/>
      <c r="J3" s="40"/>
      <c r="K3" s="40"/>
      <c r="L3" s="40"/>
      <c r="M3" s="40"/>
      <c r="N3" s="40"/>
    </row>
    <row r="4" spans="1:14" ht="11.45" customHeight="1" x14ac:dyDescent="0.2">
      <c r="A4" s="38" t="s">
        <v>2</v>
      </c>
      <c r="B4" s="38"/>
      <c r="C4" s="38"/>
      <c r="D4" s="38"/>
      <c r="E4" s="38"/>
      <c r="F4" s="38"/>
      <c r="G4" s="38"/>
      <c r="H4" s="38"/>
      <c r="I4" s="38"/>
      <c r="J4" s="38"/>
      <c r="K4" s="38"/>
      <c r="L4" s="38"/>
      <c r="M4" s="38"/>
      <c r="N4" s="38"/>
    </row>
    <row r="5" spans="1:14" ht="11.45" customHeight="1" x14ac:dyDescent="0.2">
      <c r="A5" s="41"/>
      <c r="B5" s="42"/>
      <c r="C5" s="42"/>
      <c r="D5" s="42"/>
      <c r="E5" s="42"/>
      <c r="F5" s="42"/>
      <c r="G5" s="42"/>
      <c r="H5" s="42"/>
      <c r="I5" s="42"/>
      <c r="J5" s="42"/>
      <c r="K5" s="42"/>
      <c r="L5" s="42"/>
      <c r="M5" s="42"/>
      <c r="N5" s="42"/>
    </row>
    <row r="6" spans="1:14" ht="11.45" customHeight="1" x14ac:dyDescent="0.2">
      <c r="A6" s="32" t="s">
        <v>3</v>
      </c>
      <c r="B6" s="32"/>
      <c r="C6" s="32"/>
      <c r="D6" s="22"/>
      <c r="E6" s="21" t="s">
        <v>4</v>
      </c>
      <c r="F6" s="23"/>
      <c r="G6" s="21" t="s">
        <v>5</v>
      </c>
      <c r="H6" s="23"/>
      <c r="I6" s="21" t="s">
        <v>6</v>
      </c>
      <c r="J6" s="23"/>
      <c r="K6" s="21" t="s">
        <v>7</v>
      </c>
      <c r="L6" s="23"/>
      <c r="M6" s="21" t="s">
        <v>88</v>
      </c>
      <c r="N6" s="23"/>
    </row>
    <row r="7" spans="1:14" ht="11.45" customHeight="1" x14ac:dyDescent="0.2">
      <c r="A7" s="32" t="s">
        <v>8</v>
      </c>
      <c r="B7" s="32"/>
      <c r="C7" s="32"/>
    </row>
    <row r="8" spans="1:14" ht="11.45" customHeight="1" x14ac:dyDescent="0.2">
      <c r="A8" s="24" t="s">
        <v>9</v>
      </c>
      <c r="B8" s="22"/>
      <c r="C8" s="22"/>
      <c r="E8" s="4">
        <v>880</v>
      </c>
      <c r="G8" s="4">
        <v>930</v>
      </c>
      <c r="H8" s="5" t="s">
        <v>10</v>
      </c>
      <c r="I8" s="4">
        <v>940</v>
      </c>
      <c r="J8" s="5" t="s">
        <v>89</v>
      </c>
      <c r="K8" s="4">
        <v>1000</v>
      </c>
      <c r="L8" s="5" t="s">
        <v>10</v>
      </c>
      <c r="M8" s="4">
        <v>810</v>
      </c>
      <c r="N8" s="5" t="s">
        <v>10</v>
      </c>
    </row>
    <row r="9" spans="1:14" ht="11.45" customHeight="1" x14ac:dyDescent="0.2">
      <c r="A9" s="24" t="s">
        <v>11</v>
      </c>
      <c r="B9" s="22"/>
      <c r="C9" s="22"/>
      <c r="E9" s="4">
        <v>4905</v>
      </c>
      <c r="G9" s="4">
        <v>4400</v>
      </c>
      <c r="H9" s="5" t="s">
        <v>10</v>
      </c>
      <c r="I9" s="4">
        <v>4000</v>
      </c>
      <c r="J9" s="5" t="s">
        <v>10</v>
      </c>
      <c r="K9" s="4">
        <v>4000</v>
      </c>
      <c r="L9" s="5" t="s">
        <v>10</v>
      </c>
      <c r="M9" s="4">
        <v>4000</v>
      </c>
      <c r="N9" s="5" t="s">
        <v>10</v>
      </c>
    </row>
    <row r="10" spans="1:14" ht="11.45" customHeight="1" x14ac:dyDescent="0.2">
      <c r="A10" s="24" t="s">
        <v>12</v>
      </c>
      <c r="B10" s="22"/>
      <c r="C10" s="22"/>
      <c r="E10" s="6"/>
      <c r="F10" s="7"/>
      <c r="G10" s="6"/>
      <c r="H10" s="7"/>
      <c r="I10" s="6"/>
      <c r="J10" s="7"/>
      <c r="K10" s="6"/>
      <c r="L10" s="7"/>
      <c r="M10" s="6"/>
      <c r="N10" s="7"/>
    </row>
    <row r="11" spans="1:14" ht="11.45" customHeight="1" x14ac:dyDescent="0.2">
      <c r="A11" s="25" t="s">
        <v>14</v>
      </c>
      <c r="B11" s="22"/>
      <c r="C11" s="22"/>
      <c r="E11" s="8"/>
      <c r="G11" s="8"/>
      <c r="I11" s="8"/>
      <c r="K11" s="8"/>
      <c r="M11" s="8"/>
    </row>
    <row r="12" spans="1:14" ht="11.45" customHeight="1" x14ac:dyDescent="0.2">
      <c r="A12" s="26" t="s">
        <v>15</v>
      </c>
      <c r="B12" s="22"/>
      <c r="C12" s="22"/>
      <c r="E12" s="8">
        <v>530000</v>
      </c>
      <c r="G12" s="8">
        <v>520000</v>
      </c>
      <c r="I12" s="8">
        <v>513900</v>
      </c>
      <c r="K12" s="8">
        <v>520000</v>
      </c>
      <c r="M12" s="8">
        <v>525000</v>
      </c>
    </row>
    <row r="13" spans="1:14" ht="11.45" customHeight="1" x14ac:dyDescent="0.2">
      <c r="A13" s="26" t="s">
        <v>16</v>
      </c>
      <c r="B13" s="22"/>
      <c r="C13" s="22"/>
      <c r="E13" s="16">
        <v>140000</v>
      </c>
      <c r="F13" s="17"/>
      <c r="G13" s="16">
        <v>160000</v>
      </c>
      <c r="H13" s="17"/>
      <c r="I13" s="16">
        <v>166000</v>
      </c>
      <c r="J13" s="17"/>
      <c r="K13" s="16">
        <v>170000</v>
      </c>
      <c r="L13" s="17"/>
      <c r="M13" s="16">
        <v>165000</v>
      </c>
      <c r="N13" s="17"/>
    </row>
    <row r="14" spans="1:14" ht="11.45" customHeight="1" x14ac:dyDescent="0.2">
      <c r="A14" s="9" t="s">
        <v>17</v>
      </c>
      <c r="B14" s="22"/>
      <c r="C14" s="22"/>
      <c r="E14" s="10">
        <v>670000</v>
      </c>
      <c r="F14" s="11"/>
      <c r="G14" s="10">
        <v>680000</v>
      </c>
      <c r="H14" s="11"/>
      <c r="I14" s="10">
        <v>680000</v>
      </c>
      <c r="J14" s="11"/>
      <c r="K14" s="10">
        <v>690000</v>
      </c>
      <c r="L14" s="11"/>
      <c r="M14" s="10">
        <v>690000</v>
      </c>
      <c r="N14" s="11"/>
    </row>
    <row r="15" spans="1:14" ht="11.45" customHeight="1" x14ac:dyDescent="0.2">
      <c r="A15" s="25" t="s">
        <v>18</v>
      </c>
      <c r="B15" s="22"/>
      <c r="C15" s="22"/>
    </row>
    <row r="16" spans="1:14" ht="11.45" customHeight="1" x14ac:dyDescent="0.2">
      <c r="A16" s="26" t="s">
        <v>15</v>
      </c>
      <c r="B16" s="22"/>
      <c r="C16" s="22"/>
      <c r="E16" s="4">
        <v>500500</v>
      </c>
      <c r="G16" s="4">
        <v>473600</v>
      </c>
      <c r="I16" s="4">
        <v>489500</v>
      </c>
      <c r="K16" s="4">
        <v>476300</v>
      </c>
      <c r="M16" s="4">
        <v>465700</v>
      </c>
    </row>
    <row r="17" spans="1:14" ht="11.45" customHeight="1" x14ac:dyDescent="0.2">
      <c r="A17" s="26" t="s">
        <v>16</v>
      </c>
      <c r="B17" s="22"/>
      <c r="C17" s="22"/>
      <c r="E17" s="16">
        <v>174000</v>
      </c>
      <c r="F17" s="17"/>
      <c r="G17" s="16">
        <v>189400</v>
      </c>
      <c r="H17" s="17"/>
      <c r="I17" s="16">
        <v>181800</v>
      </c>
      <c r="J17" s="17"/>
      <c r="K17" s="16">
        <v>171100</v>
      </c>
      <c r="L17" s="17"/>
      <c r="M17" s="16">
        <v>172200</v>
      </c>
      <c r="N17" s="17"/>
    </row>
    <row r="18" spans="1:14" ht="11.45" customHeight="1" x14ac:dyDescent="0.2">
      <c r="A18" s="9" t="s">
        <v>17</v>
      </c>
      <c r="B18" s="22"/>
      <c r="C18" s="22"/>
      <c r="E18" s="4">
        <v>675000</v>
      </c>
      <c r="G18" s="4">
        <f>SUM(G16+G17)</f>
        <v>663000</v>
      </c>
      <c r="I18" s="4">
        <v>671000</v>
      </c>
      <c r="K18" s="4">
        <v>647000</v>
      </c>
      <c r="M18" s="4">
        <v>638000</v>
      </c>
    </row>
    <row r="19" spans="1:14" ht="11.45" customHeight="1" x14ac:dyDescent="0.2">
      <c r="A19" s="18" t="s">
        <v>19</v>
      </c>
      <c r="B19" s="22"/>
      <c r="C19" s="22"/>
    </row>
    <row r="20" spans="1:14" ht="11.45" customHeight="1" x14ac:dyDescent="0.2">
      <c r="A20" s="19" t="s">
        <v>20</v>
      </c>
      <c r="B20" s="22"/>
      <c r="C20" s="22"/>
      <c r="E20" s="4">
        <v>374000</v>
      </c>
      <c r="G20" s="4">
        <v>317478</v>
      </c>
      <c r="I20" s="4">
        <v>258787</v>
      </c>
      <c r="K20" s="4">
        <v>407516</v>
      </c>
      <c r="M20" s="4">
        <v>372490</v>
      </c>
    </row>
    <row r="21" spans="1:14" ht="11.45" customHeight="1" x14ac:dyDescent="0.2">
      <c r="A21" s="19" t="s">
        <v>22</v>
      </c>
      <c r="B21" s="22"/>
      <c r="C21" s="22"/>
    </row>
    <row r="22" spans="1:14" ht="11.45" customHeight="1" x14ac:dyDescent="0.2">
      <c r="A22" s="20" t="s">
        <v>23</v>
      </c>
      <c r="B22" s="22"/>
      <c r="C22" s="22"/>
      <c r="E22" s="4">
        <v>228000</v>
      </c>
      <c r="G22" s="4">
        <v>230000</v>
      </c>
      <c r="I22" s="4">
        <v>228000</v>
      </c>
      <c r="J22" s="5" t="s">
        <v>21</v>
      </c>
      <c r="K22" s="4">
        <v>220000</v>
      </c>
      <c r="L22" s="5" t="s">
        <v>21</v>
      </c>
      <c r="M22" s="4">
        <v>218000</v>
      </c>
    </row>
    <row r="23" spans="1:14" ht="11.45" customHeight="1" x14ac:dyDescent="0.2">
      <c r="A23" s="20" t="s">
        <v>24</v>
      </c>
      <c r="B23" s="22"/>
      <c r="C23" s="22"/>
      <c r="E23" s="4">
        <v>45631</v>
      </c>
      <c r="G23" s="4">
        <v>46000</v>
      </c>
      <c r="I23" s="4">
        <v>45600</v>
      </c>
      <c r="J23" s="5" t="s">
        <v>21</v>
      </c>
      <c r="K23" s="4">
        <v>44000</v>
      </c>
      <c r="L23" s="5" t="s">
        <v>21</v>
      </c>
      <c r="M23" s="4">
        <v>43500</v>
      </c>
    </row>
    <row r="24" spans="1:14" ht="11.45" customHeight="1" x14ac:dyDescent="0.2">
      <c r="A24" s="19" t="s">
        <v>25</v>
      </c>
      <c r="B24" s="22"/>
      <c r="C24" s="22"/>
      <c r="E24" s="4">
        <v>30000</v>
      </c>
      <c r="G24" s="4">
        <v>30000</v>
      </c>
      <c r="I24" s="4">
        <v>29000</v>
      </c>
      <c r="K24" s="4">
        <v>30000</v>
      </c>
      <c r="M24" s="4">
        <v>29000</v>
      </c>
    </row>
    <row r="25" spans="1:14" ht="11.45" customHeight="1" x14ac:dyDescent="0.2">
      <c r="A25" s="19" t="s">
        <v>26</v>
      </c>
      <c r="B25" s="22"/>
      <c r="C25" s="22"/>
      <c r="E25" s="4">
        <v>164000</v>
      </c>
      <c r="G25" s="4">
        <v>137852</v>
      </c>
      <c r="I25" s="4">
        <v>149196</v>
      </c>
      <c r="K25" s="4">
        <v>146289</v>
      </c>
      <c r="M25" s="4">
        <v>151263</v>
      </c>
    </row>
    <row r="26" spans="1:14" ht="11.45" customHeight="1" x14ac:dyDescent="0.2">
      <c r="A26" s="24" t="s">
        <v>27</v>
      </c>
      <c r="B26" s="22"/>
      <c r="C26" s="22" t="s">
        <v>28</v>
      </c>
      <c r="E26" s="4">
        <v>3000</v>
      </c>
      <c r="G26" s="4">
        <v>2000</v>
      </c>
      <c r="I26" s="4">
        <v>2000</v>
      </c>
      <c r="K26" s="4">
        <v>2000</v>
      </c>
      <c r="M26" s="4">
        <v>2000</v>
      </c>
    </row>
    <row r="27" spans="1:14" ht="11.45" customHeight="1" x14ac:dyDescent="0.2">
      <c r="A27" s="24" t="s">
        <v>29</v>
      </c>
      <c r="B27" s="22"/>
      <c r="C27" s="22"/>
    </row>
    <row r="28" spans="1:14" ht="11.45" customHeight="1" x14ac:dyDescent="0.2">
      <c r="A28" s="25" t="s">
        <v>30</v>
      </c>
      <c r="B28" s="22"/>
      <c r="C28" s="22" t="s">
        <v>31</v>
      </c>
      <c r="E28" s="4">
        <v>238</v>
      </c>
      <c r="G28" s="4">
        <v>181</v>
      </c>
      <c r="I28" s="4">
        <v>189</v>
      </c>
      <c r="K28" s="4">
        <v>162</v>
      </c>
      <c r="M28" s="4">
        <v>128</v>
      </c>
    </row>
    <row r="29" spans="1:14" ht="11.45" customHeight="1" x14ac:dyDescent="0.2">
      <c r="A29" s="25" t="s">
        <v>32</v>
      </c>
      <c r="B29" s="22"/>
      <c r="C29" s="22" t="s">
        <v>31</v>
      </c>
      <c r="E29" s="4">
        <v>48626</v>
      </c>
      <c r="G29" s="4">
        <v>54340</v>
      </c>
      <c r="I29" s="4">
        <v>44665</v>
      </c>
      <c r="K29" s="4">
        <v>47000</v>
      </c>
      <c r="M29" s="4">
        <v>46172</v>
      </c>
    </row>
    <row r="30" spans="1:14" ht="11.45" customHeight="1" x14ac:dyDescent="0.2">
      <c r="A30" s="24" t="s">
        <v>33</v>
      </c>
      <c r="B30" s="22"/>
      <c r="C30" s="22" t="s">
        <v>31</v>
      </c>
      <c r="E30" s="4">
        <v>235000</v>
      </c>
      <c r="G30" s="4">
        <v>225000</v>
      </c>
      <c r="I30" s="4">
        <v>210000</v>
      </c>
      <c r="K30" s="4">
        <v>190000</v>
      </c>
      <c r="M30" s="4">
        <v>180000</v>
      </c>
    </row>
    <row r="31" spans="1:14" ht="11.45" customHeight="1" x14ac:dyDescent="0.2">
      <c r="A31" s="24" t="s">
        <v>34</v>
      </c>
      <c r="B31" s="22"/>
      <c r="C31" s="22"/>
    </row>
    <row r="32" spans="1:14" ht="11.45" customHeight="1" x14ac:dyDescent="0.2">
      <c r="A32" s="19" t="s">
        <v>23</v>
      </c>
      <c r="B32" s="22"/>
      <c r="C32" s="22" t="s">
        <v>35</v>
      </c>
      <c r="E32" s="4">
        <v>383</v>
      </c>
      <c r="G32" s="4">
        <v>342</v>
      </c>
      <c r="I32" s="4">
        <v>575</v>
      </c>
      <c r="K32" s="4">
        <v>539</v>
      </c>
      <c r="M32" s="4">
        <v>434</v>
      </c>
    </row>
    <row r="33" spans="1:14" ht="11.45" customHeight="1" x14ac:dyDescent="0.2">
      <c r="A33" s="19" t="s">
        <v>36</v>
      </c>
      <c r="B33" s="22"/>
      <c r="C33" s="22" t="s">
        <v>31</v>
      </c>
      <c r="E33" s="4">
        <v>214</v>
      </c>
      <c r="G33" s="4">
        <v>192</v>
      </c>
      <c r="I33" s="4">
        <v>322</v>
      </c>
      <c r="K33" s="4">
        <v>302</v>
      </c>
      <c r="M33" s="4">
        <v>243</v>
      </c>
    </row>
    <row r="34" spans="1:14" ht="11.45" customHeight="1" x14ac:dyDescent="0.2">
      <c r="A34" s="24" t="s">
        <v>37</v>
      </c>
      <c r="B34" s="22"/>
      <c r="C34" s="22"/>
    </row>
    <row r="35" spans="1:14" ht="11.45" customHeight="1" x14ac:dyDescent="0.2">
      <c r="A35" s="25" t="s">
        <v>38</v>
      </c>
      <c r="B35" s="22"/>
      <c r="C35" s="22" t="s">
        <v>31</v>
      </c>
      <c r="E35" s="4">
        <v>47124</v>
      </c>
      <c r="G35" s="4">
        <v>47521</v>
      </c>
      <c r="I35" s="4">
        <v>45360</v>
      </c>
      <c r="K35" s="4">
        <v>46441</v>
      </c>
      <c r="M35" s="4">
        <v>42195</v>
      </c>
    </row>
    <row r="36" spans="1:14" ht="11.45" customHeight="1" x14ac:dyDescent="0.2">
      <c r="A36" s="25" t="s">
        <v>39</v>
      </c>
      <c r="B36" s="22"/>
      <c r="C36" s="22"/>
    </row>
    <row r="37" spans="1:14" ht="11.45" customHeight="1" x14ac:dyDescent="0.2">
      <c r="A37" s="26" t="s">
        <v>40</v>
      </c>
      <c r="B37" s="22"/>
      <c r="C37" s="22" t="s">
        <v>31</v>
      </c>
      <c r="E37" s="4">
        <v>72463</v>
      </c>
      <c r="G37" s="4">
        <v>71411</v>
      </c>
      <c r="I37" s="4">
        <v>67098</v>
      </c>
      <c r="K37" s="4">
        <v>70556</v>
      </c>
      <c r="M37" s="4">
        <v>65856</v>
      </c>
    </row>
    <row r="38" spans="1:14" ht="11.45" customHeight="1" x14ac:dyDescent="0.2">
      <c r="A38" s="26" t="s">
        <v>41</v>
      </c>
      <c r="B38" s="22"/>
      <c r="C38" s="22" t="s">
        <v>31</v>
      </c>
      <c r="E38" s="4">
        <v>69785</v>
      </c>
      <c r="G38" s="4">
        <v>68273</v>
      </c>
      <c r="I38" s="4">
        <v>65752</v>
      </c>
      <c r="K38" s="4">
        <v>69133</v>
      </c>
      <c r="L38" s="5" t="s">
        <v>21</v>
      </c>
      <c r="M38" s="4">
        <v>65000</v>
      </c>
      <c r="N38" s="5" t="s">
        <v>10</v>
      </c>
    </row>
    <row r="39" spans="1:14" ht="11.45" customHeight="1" x14ac:dyDescent="0.2">
      <c r="A39" s="24" t="s">
        <v>42</v>
      </c>
      <c r="B39" s="12"/>
      <c r="C39" s="12"/>
      <c r="D39" s="1"/>
      <c r="E39" s="13"/>
      <c r="F39" s="12"/>
      <c r="G39" s="13"/>
      <c r="H39" s="12"/>
      <c r="I39" s="13"/>
      <c r="J39" s="12"/>
      <c r="K39" s="13"/>
      <c r="L39" s="12"/>
      <c r="M39" s="13"/>
    </row>
    <row r="40" spans="1:14" ht="11.45" customHeight="1" x14ac:dyDescent="0.2">
      <c r="A40" s="25" t="s">
        <v>43</v>
      </c>
      <c r="B40" s="22"/>
      <c r="C40" s="22"/>
      <c r="E40" s="4">
        <v>2341</v>
      </c>
      <c r="G40" s="4">
        <v>1933</v>
      </c>
      <c r="I40" s="4">
        <v>1681</v>
      </c>
      <c r="K40" s="4">
        <v>1528</v>
      </c>
      <c r="M40" s="4">
        <v>974</v>
      </c>
    </row>
    <row r="41" spans="1:14" ht="11.45" customHeight="1" x14ac:dyDescent="0.2">
      <c r="A41" s="25" t="s">
        <v>18</v>
      </c>
      <c r="B41" s="22"/>
      <c r="C41" s="22"/>
      <c r="E41" s="6"/>
      <c r="F41" s="7"/>
      <c r="G41" s="6"/>
      <c r="H41" s="7"/>
      <c r="I41" s="6"/>
      <c r="J41" s="7"/>
      <c r="K41" s="6"/>
      <c r="L41" s="7"/>
      <c r="M41" s="6"/>
      <c r="N41" s="7"/>
    </row>
    <row r="42" spans="1:14" ht="11.45" customHeight="1" x14ac:dyDescent="0.2">
      <c r="A42" s="26" t="s">
        <v>15</v>
      </c>
      <c r="B42" s="22"/>
      <c r="C42" s="22"/>
      <c r="E42" s="8">
        <v>410295</v>
      </c>
      <c r="G42" s="8">
        <v>404000</v>
      </c>
      <c r="I42" s="8">
        <v>435040</v>
      </c>
      <c r="K42" s="8">
        <v>426415</v>
      </c>
      <c r="M42" s="8">
        <v>412432</v>
      </c>
    </row>
    <row r="43" spans="1:14" ht="11.45" customHeight="1" x14ac:dyDescent="0.2">
      <c r="A43" s="26" t="s">
        <v>16</v>
      </c>
      <c r="B43" s="22"/>
      <c r="C43" s="22"/>
      <c r="E43" s="16">
        <v>390000</v>
      </c>
      <c r="F43" s="17"/>
      <c r="G43" s="16">
        <v>390000</v>
      </c>
      <c r="H43" s="17"/>
      <c r="I43" s="16">
        <v>340000</v>
      </c>
      <c r="J43" s="17"/>
      <c r="K43" s="16">
        <v>349000</v>
      </c>
      <c r="L43" s="17"/>
      <c r="M43" s="16">
        <v>348000</v>
      </c>
      <c r="N43" s="17"/>
    </row>
    <row r="44" spans="1:14" ht="11.45" customHeight="1" x14ac:dyDescent="0.2">
      <c r="A44" s="9" t="s">
        <v>17</v>
      </c>
      <c r="B44" s="22"/>
      <c r="C44" s="22"/>
      <c r="E44" s="4">
        <v>800000</v>
      </c>
      <c r="F44" s="4"/>
      <c r="G44" s="4">
        <f t="shared" ref="G44" si="0">G42+G43</f>
        <v>794000</v>
      </c>
      <c r="H44" s="4"/>
      <c r="I44" s="4">
        <v>775000</v>
      </c>
      <c r="J44" s="4"/>
      <c r="K44" s="4">
        <v>775000</v>
      </c>
      <c r="L44" s="4"/>
      <c r="M44" s="4">
        <v>760000</v>
      </c>
    </row>
    <row r="45" spans="1:14" ht="11.45" customHeight="1" x14ac:dyDescent="0.2">
      <c r="A45" s="24" t="s">
        <v>44</v>
      </c>
      <c r="B45" s="22"/>
      <c r="C45" s="22"/>
      <c r="E45" s="14" t="s">
        <v>13</v>
      </c>
      <c r="G45" s="4">
        <v>266</v>
      </c>
      <c r="I45" s="4">
        <v>411</v>
      </c>
      <c r="K45" s="4">
        <v>408</v>
      </c>
      <c r="M45" s="4">
        <v>367</v>
      </c>
    </row>
    <row r="46" spans="1:14" ht="11.45" customHeight="1" x14ac:dyDescent="0.2">
      <c r="A46" s="24" t="s">
        <v>45</v>
      </c>
      <c r="B46" s="22"/>
      <c r="C46" s="22" t="s">
        <v>28</v>
      </c>
      <c r="E46" s="4">
        <v>2700</v>
      </c>
      <c r="G46" s="4">
        <v>2800</v>
      </c>
      <c r="I46" s="4">
        <v>2800</v>
      </c>
      <c r="J46" s="5" t="s">
        <v>10</v>
      </c>
      <c r="K46" s="4">
        <v>2800</v>
      </c>
      <c r="L46" s="5" t="s">
        <v>10</v>
      </c>
      <c r="M46" s="4">
        <v>2800</v>
      </c>
      <c r="N46" s="5" t="s">
        <v>10</v>
      </c>
    </row>
    <row r="47" spans="1:14" ht="11.45" customHeight="1" x14ac:dyDescent="0.2">
      <c r="A47" s="24" t="s">
        <v>46</v>
      </c>
      <c r="B47" s="12"/>
      <c r="C47" s="12"/>
    </row>
    <row r="48" spans="1:14" ht="11.45" customHeight="1" x14ac:dyDescent="0.2">
      <c r="A48" s="25" t="s">
        <v>47</v>
      </c>
      <c r="B48" s="22"/>
      <c r="C48" s="22" t="s">
        <v>31</v>
      </c>
      <c r="E48" s="4">
        <v>7090</v>
      </c>
      <c r="G48" s="4">
        <v>5245</v>
      </c>
      <c r="I48" s="4">
        <v>5739</v>
      </c>
      <c r="K48" s="4">
        <v>10001</v>
      </c>
      <c r="M48" s="4">
        <v>7100</v>
      </c>
    </row>
    <row r="49" spans="1:13" ht="11.45" customHeight="1" x14ac:dyDescent="0.2">
      <c r="A49" s="25" t="s">
        <v>95</v>
      </c>
      <c r="B49" s="22"/>
      <c r="C49" s="22" t="s">
        <v>31</v>
      </c>
      <c r="E49" s="4">
        <v>2653486</v>
      </c>
      <c r="G49" s="4">
        <v>2692154</v>
      </c>
      <c r="I49" s="4">
        <v>2851739</v>
      </c>
      <c r="K49" s="4">
        <v>2785000</v>
      </c>
      <c r="M49" s="4">
        <v>2507000</v>
      </c>
    </row>
    <row r="50" spans="1:13" ht="11.45" customHeight="1" x14ac:dyDescent="0.2">
      <c r="A50" s="24" t="s">
        <v>48</v>
      </c>
      <c r="B50" s="22"/>
      <c r="C50" s="22"/>
      <c r="E50" s="4">
        <v>213184</v>
      </c>
      <c r="G50" s="4">
        <v>295987</v>
      </c>
      <c r="I50" s="4">
        <v>287895</v>
      </c>
      <c r="K50" s="4">
        <v>322581</v>
      </c>
      <c r="M50" s="4">
        <v>276826</v>
      </c>
    </row>
    <row r="51" spans="1:13" ht="11.45" customHeight="1" x14ac:dyDescent="0.2">
      <c r="A51" s="24" t="s">
        <v>49</v>
      </c>
      <c r="B51" s="22"/>
      <c r="C51" s="22"/>
    </row>
    <row r="52" spans="1:13" ht="11.45" customHeight="1" x14ac:dyDescent="0.2">
      <c r="A52" s="25" t="s">
        <v>50</v>
      </c>
      <c r="B52" s="22"/>
      <c r="C52" s="22"/>
      <c r="E52" s="4">
        <v>3656</v>
      </c>
      <c r="G52" s="4">
        <v>4106</v>
      </c>
      <c r="I52" s="4">
        <v>4300</v>
      </c>
      <c r="K52" s="4">
        <v>4371</v>
      </c>
      <c r="M52" s="4">
        <v>3960</v>
      </c>
    </row>
    <row r="53" spans="1:13" ht="11.45" customHeight="1" x14ac:dyDescent="0.2">
      <c r="A53" s="25" t="s">
        <v>51</v>
      </c>
      <c r="B53" s="22"/>
      <c r="C53" s="22"/>
      <c r="E53" s="4">
        <v>988695</v>
      </c>
      <c r="G53" s="4">
        <v>986291</v>
      </c>
      <c r="I53" s="4">
        <v>987201</v>
      </c>
      <c r="K53" s="4">
        <v>948973</v>
      </c>
      <c r="M53" s="4">
        <v>965345</v>
      </c>
    </row>
    <row r="54" spans="1:13" ht="11.45" customHeight="1" x14ac:dyDescent="0.2">
      <c r="A54" s="32" t="s">
        <v>52</v>
      </c>
      <c r="B54" s="32"/>
      <c r="C54" s="32"/>
    </row>
    <row r="55" spans="1:13" ht="11.45" customHeight="1" x14ac:dyDescent="0.2">
      <c r="A55" s="24" t="s">
        <v>53</v>
      </c>
      <c r="B55" s="12"/>
      <c r="C55" s="12"/>
    </row>
    <row r="56" spans="1:13" ht="11.45" customHeight="1" x14ac:dyDescent="0.2">
      <c r="A56" s="25" t="s">
        <v>54</v>
      </c>
      <c r="B56" s="22"/>
      <c r="C56" s="22" t="s">
        <v>35</v>
      </c>
      <c r="E56" s="4">
        <v>45351</v>
      </c>
      <c r="G56" s="4">
        <v>45932</v>
      </c>
      <c r="I56" s="4">
        <v>41894</v>
      </c>
      <c r="K56" s="4">
        <v>43430</v>
      </c>
      <c r="M56" s="4">
        <v>42890</v>
      </c>
    </row>
    <row r="57" spans="1:13" ht="11.45" customHeight="1" x14ac:dyDescent="0.2">
      <c r="A57" s="25" t="s">
        <v>55</v>
      </c>
      <c r="B57" s="12"/>
      <c r="C57" s="22" t="s">
        <v>31</v>
      </c>
      <c r="E57" s="4">
        <v>52093</v>
      </c>
      <c r="G57" s="4">
        <v>50635</v>
      </c>
      <c r="I57" s="4">
        <v>47518</v>
      </c>
      <c r="K57" s="4">
        <v>49864</v>
      </c>
      <c r="M57" s="4">
        <v>51062</v>
      </c>
    </row>
    <row r="58" spans="1:13" ht="11.45" customHeight="1" x14ac:dyDescent="0.2">
      <c r="A58" s="24" t="s">
        <v>56</v>
      </c>
      <c r="B58" s="22"/>
      <c r="C58" s="22" t="s">
        <v>31</v>
      </c>
      <c r="E58" s="4">
        <v>2462</v>
      </c>
      <c r="G58" s="4">
        <v>1939</v>
      </c>
      <c r="I58" s="4">
        <v>1516</v>
      </c>
      <c r="K58" s="4">
        <v>1842</v>
      </c>
      <c r="M58" s="4">
        <v>508</v>
      </c>
    </row>
    <row r="59" spans="1:13" ht="11.45" customHeight="1" x14ac:dyDescent="0.2">
      <c r="A59" s="24" t="s">
        <v>57</v>
      </c>
      <c r="B59" s="22"/>
      <c r="C59" s="22"/>
    </row>
    <row r="60" spans="1:13" ht="11.45" customHeight="1" x14ac:dyDescent="0.2">
      <c r="A60" s="25" t="s">
        <v>58</v>
      </c>
      <c r="B60" s="22"/>
      <c r="C60" s="22"/>
      <c r="E60" s="4">
        <v>31824</v>
      </c>
      <c r="G60" s="4">
        <v>43886</v>
      </c>
      <c r="I60" s="4">
        <v>5314</v>
      </c>
      <c r="K60" s="4">
        <v>34243</v>
      </c>
      <c r="M60" s="4">
        <v>28410</v>
      </c>
    </row>
    <row r="61" spans="1:13" ht="11.45" customHeight="1" x14ac:dyDescent="0.2">
      <c r="A61" s="25" t="s">
        <v>59</v>
      </c>
      <c r="B61" s="22"/>
      <c r="C61" s="22"/>
      <c r="E61" s="4">
        <v>118177</v>
      </c>
      <c r="G61" s="4">
        <v>185718</v>
      </c>
      <c r="I61" s="4">
        <v>71855</v>
      </c>
      <c r="K61" s="4">
        <v>52192</v>
      </c>
      <c r="M61" s="4">
        <v>73021</v>
      </c>
    </row>
    <row r="62" spans="1:13" ht="11.45" customHeight="1" x14ac:dyDescent="0.2">
      <c r="A62" s="25" t="s">
        <v>60</v>
      </c>
      <c r="B62" s="22"/>
      <c r="C62" s="22"/>
      <c r="E62" s="4">
        <v>369274</v>
      </c>
      <c r="G62" s="4">
        <v>317626</v>
      </c>
      <c r="I62" s="4">
        <v>393236</v>
      </c>
      <c r="K62" s="4">
        <v>352003</v>
      </c>
      <c r="M62" s="4">
        <v>426959</v>
      </c>
    </row>
    <row r="63" spans="1:13" ht="11.45" customHeight="1" x14ac:dyDescent="0.2">
      <c r="A63" s="25" t="s">
        <v>61</v>
      </c>
      <c r="B63" s="22"/>
      <c r="C63" s="22"/>
      <c r="E63" s="4">
        <v>237242</v>
      </c>
      <c r="G63" s="4">
        <v>186918</v>
      </c>
      <c r="I63" s="4">
        <v>182619</v>
      </c>
      <c r="K63" s="4">
        <v>155746</v>
      </c>
      <c r="M63" s="4">
        <v>142705</v>
      </c>
    </row>
    <row r="64" spans="1:13" ht="11.45" customHeight="1" x14ac:dyDescent="0.2">
      <c r="A64" s="25" t="s">
        <v>62</v>
      </c>
      <c r="B64" s="22"/>
      <c r="C64" s="22"/>
      <c r="E64" s="4">
        <v>533661</v>
      </c>
      <c r="G64" s="4">
        <v>502619</v>
      </c>
      <c r="I64" s="4">
        <v>504291</v>
      </c>
      <c r="K64" s="4">
        <v>508168</v>
      </c>
      <c r="M64" s="4">
        <v>343336</v>
      </c>
    </row>
    <row r="65" spans="1:14" ht="11.45" customHeight="1" x14ac:dyDescent="0.2">
      <c r="A65" s="24" t="s">
        <v>63</v>
      </c>
      <c r="B65" s="22"/>
      <c r="C65" s="22"/>
      <c r="E65" s="4">
        <v>25902</v>
      </c>
      <c r="G65" s="4">
        <v>40910</v>
      </c>
      <c r="I65" s="4">
        <v>65240</v>
      </c>
      <c r="K65" s="4">
        <v>49616</v>
      </c>
      <c r="M65" s="4">
        <v>49097</v>
      </c>
    </row>
    <row r="66" spans="1:14" ht="11.45" customHeight="1" x14ac:dyDescent="0.2">
      <c r="A66" s="24" t="s">
        <v>64</v>
      </c>
      <c r="B66" s="22"/>
      <c r="C66" s="22"/>
      <c r="E66" s="4">
        <v>617166</v>
      </c>
      <c r="G66" s="4">
        <v>396896</v>
      </c>
      <c r="I66" s="4">
        <v>415426</v>
      </c>
      <c r="J66" s="5" t="s">
        <v>21</v>
      </c>
      <c r="K66" s="4">
        <v>987309</v>
      </c>
      <c r="M66" s="4">
        <v>851046</v>
      </c>
    </row>
    <row r="67" spans="1:14" ht="11.45" customHeight="1" x14ac:dyDescent="0.2">
      <c r="A67" s="24" t="s">
        <v>87</v>
      </c>
      <c r="B67" s="22"/>
      <c r="C67" s="22"/>
    </row>
    <row r="68" spans="1:14" ht="11.45" customHeight="1" x14ac:dyDescent="0.2">
      <c r="A68" s="25" t="s">
        <v>90</v>
      </c>
      <c r="B68" s="22"/>
      <c r="C68" s="22"/>
      <c r="E68" s="14" t="s">
        <v>13</v>
      </c>
      <c r="G68" s="14" t="s">
        <v>13</v>
      </c>
      <c r="I68" s="14" t="s">
        <v>13</v>
      </c>
      <c r="K68" s="4">
        <v>7812</v>
      </c>
      <c r="M68" s="4">
        <v>16758</v>
      </c>
    </row>
    <row r="69" spans="1:14" ht="11.45" customHeight="1" x14ac:dyDescent="0.2">
      <c r="A69" s="25" t="s">
        <v>91</v>
      </c>
      <c r="B69" s="22"/>
      <c r="C69" s="22"/>
      <c r="E69" s="4">
        <v>670</v>
      </c>
      <c r="G69" s="4">
        <v>302</v>
      </c>
      <c r="I69" s="4">
        <v>3052</v>
      </c>
      <c r="K69" s="4">
        <v>10485</v>
      </c>
      <c r="M69" s="4">
        <v>7040</v>
      </c>
    </row>
    <row r="70" spans="1:14" ht="11.45" customHeight="1" x14ac:dyDescent="0.2">
      <c r="A70" s="24" t="s">
        <v>65</v>
      </c>
      <c r="B70" s="22"/>
      <c r="C70" s="22" t="s">
        <v>35</v>
      </c>
      <c r="E70" s="4">
        <v>5200</v>
      </c>
      <c r="G70" s="4">
        <v>5200</v>
      </c>
      <c r="I70" s="4">
        <v>5100</v>
      </c>
      <c r="K70" s="4">
        <v>5200</v>
      </c>
      <c r="M70" s="4">
        <v>5100</v>
      </c>
    </row>
    <row r="71" spans="1:14" ht="11.45" customHeight="1" x14ac:dyDescent="0.2">
      <c r="A71" s="24" t="s">
        <v>66</v>
      </c>
      <c r="B71" s="22"/>
      <c r="C71" s="22"/>
      <c r="E71" s="4">
        <v>16559</v>
      </c>
      <c r="G71" s="4">
        <v>23433</v>
      </c>
      <c r="I71" s="4">
        <v>20983</v>
      </c>
      <c r="K71" s="4">
        <v>10984</v>
      </c>
      <c r="M71" s="4">
        <v>10198</v>
      </c>
    </row>
    <row r="72" spans="1:14" ht="11.45" customHeight="1" x14ac:dyDescent="0.2">
      <c r="A72" s="24" t="s">
        <v>67</v>
      </c>
      <c r="B72" s="22"/>
      <c r="C72" s="22"/>
      <c r="E72" s="8">
        <v>459542</v>
      </c>
      <c r="G72" s="8">
        <v>433054</v>
      </c>
      <c r="I72" s="8">
        <v>345437</v>
      </c>
      <c r="K72" s="8">
        <v>453776</v>
      </c>
      <c r="M72" s="8">
        <v>450000</v>
      </c>
      <c r="N72" s="5" t="s">
        <v>10</v>
      </c>
    </row>
    <row r="73" spans="1:14" s="2" customFormat="1" ht="11.45" customHeight="1" x14ac:dyDescent="0.2">
      <c r="A73" s="27" t="s">
        <v>92</v>
      </c>
      <c r="B73" s="24"/>
      <c r="C73" s="22" t="s">
        <v>35</v>
      </c>
      <c r="E73" s="8">
        <v>1730</v>
      </c>
      <c r="F73" s="28"/>
      <c r="G73" s="8">
        <v>1020</v>
      </c>
      <c r="H73" s="28"/>
      <c r="I73" s="8">
        <v>1140</v>
      </c>
      <c r="J73" s="28"/>
      <c r="K73" s="8">
        <v>676</v>
      </c>
      <c r="L73" s="5" t="s">
        <v>21</v>
      </c>
      <c r="M73" s="8">
        <v>827</v>
      </c>
      <c r="N73" s="5"/>
    </row>
    <row r="74" spans="1:14" ht="11.45" customHeight="1" x14ac:dyDescent="0.2">
      <c r="A74" s="24" t="s">
        <v>69</v>
      </c>
      <c r="B74" s="22"/>
      <c r="C74" s="22"/>
      <c r="F74" s="4"/>
      <c r="H74" s="4"/>
      <c r="J74" s="4"/>
      <c r="L74" s="4"/>
    </row>
    <row r="75" spans="1:14" ht="11.45" customHeight="1" x14ac:dyDescent="0.2">
      <c r="A75" s="29" t="s">
        <v>70</v>
      </c>
      <c r="B75" s="22"/>
      <c r="C75" s="22" t="s">
        <v>31</v>
      </c>
      <c r="E75" s="4">
        <v>220000</v>
      </c>
      <c r="F75" s="4"/>
      <c r="G75" s="4">
        <v>230000</v>
      </c>
      <c r="H75" s="4"/>
      <c r="I75" s="4">
        <v>210000</v>
      </c>
      <c r="J75" s="4"/>
      <c r="K75" s="4">
        <v>220000</v>
      </c>
      <c r="L75" s="4"/>
      <c r="M75" s="4">
        <v>180000</v>
      </c>
    </row>
    <row r="76" spans="1:14" s="2" customFormat="1" ht="11.45" customHeight="1" x14ac:dyDescent="0.2">
      <c r="A76" s="25" t="s">
        <v>96</v>
      </c>
      <c r="B76" s="24"/>
      <c r="C76" s="24"/>
      <c r="E76" s="15"/>
      <c r="F76" s="5"/>
      <c r="G76" s="15"/>
      <c r="H76" s="5"/>
      <c r="I76" s="15"/>
      <c r="J76" s="5"/>
      <c r="K76" s="15"/>
      <c r="L76" s="5"/>
      <c r="M76" s="15"/>
      <c r="N76" s="5"/>
    </row>
    <row r="77" spans="1:14" ht="11.45" customHeight="1" x14ac:dyDescent="0.2">
      <c r="A77" s="26" t="s">
        <v>71</v>
      </c>
      <c r="B77" s="22"/>
      <c r="C77" s="22" t="s">
        <v>31</v>
      </c>
      <c r="E77" s="4">
        <v>3374</v>
      </c>
      <c r="G77" s="4">
        <v>3645</v>
      </c>
      <c r="I77" s="4">
        <v>3407</v>
      </c>
      <c r="K77" s="4">
        <v>3746</v>
      </c>
      <c r="M77" s="4">
        <v>3633</v>
      </c>
    </row>
    <row r="78" spans="1:14" ht="11.45" customHeight="1" x14ac:dyDescent="0.2">
      <c r="A78" s="26" t="s">
        <v>72</v>
      </c>
      <c r="B78" s="22"/>
      <c r="C78" s="22" t="s">
        <v>31</v>
      </c>
      <c r="E78" s="4">
        <v>86255</v>
      </c>
      <c r="G78" s="4">
        <v>83769</v>
      </c>
      <c r="I78" s="4">
        <v>78985</v>
      </c>
      <c r="K78" s="4">
        <v>82850</v>
      </c>
      <c r="M78" s="4">
        <v>82535</v>
      </c>
    </row>
    <row r="79" spans="1:14" ht="11.45" customHeight="1" x14ac:dyDescent="0.2">
      <c r="A79" s="26" t="s">
        <v>73</v>
      </c>
      <c r="B79" s="22"/>
      <c r="C79" s="22" t="s">
        <v>31</v>
      </c>
      <c r="E79" s="4">
        <v>2</v>
      </c>
      <c r="G79" s="4">
        <v>3</v>
      </c>
      <c r="I79" s="4">
        <v>2</v>
      </c>
      <c r="K79" s="4">
        <v>2</v>
      </c>
      <c r="M79" s="14" t="s">
        <v>13</v>
      </c>
    </row>
    <row r="80" spans="1:14" ht="11.45" customHeight="1" x14ac:dyDescent="0.2">
      <c r="A80" s="26" t="s">
        <v>68</v>
      </c>
      <c r="B80" s="22"/>
      <c r="C80" s="22" t="s">
        <v>31</v>
      </c>
      <c r="E80" s="4">
        <v>2239</v>
      </c>
      <c r="G80" s="4">
        <v>2024</v>
      </c>
      <c r="I80" s="4">
        <v>1931</v>
      </c>
      <c r="K80" s="4">
        <v>2496</v>
      </c>
      <c r="M80" s="4">
        <v>2903</v>
      </c>
    </row>
    <row r="81" spans="1:14" ht="11.45" customHeight="1" x14ac:dyDescent="0.2">
      <c r="A81" s="24" t="s">
        <v>74</v>
      </c>
      <c r="B81" s="22"/>
      <c r="C81" s="22"/>
    </row>
    <row r="82" spans="1:14" ht="11.45" customHeight="1" x14ac:dyDescent="0.2">
      <c r="A82" s="25" t="s">
        <v>75</v>
      </c>
      <c r="B82" s="22"/>
      <c r="C82" s="22"/>
      <c r="E82" s="4">
        <v>346761</v>
      </c>
      <c r="G82" s="4">
        <v>327624</v>
      </c>
      <c r="I82" s="4">
        <v>314346</v>
      </c>
      <c r="K82" s="4">
        <v>353013</v>
      </c>
      <c r="M82" s="4">
        <v>320954</v>
      </c>
    </row>
    <row r="83" spans="1:14" ht="11.45" customHeight="1" x14ac:dyDescent="0.2">
      <c r="A83" s="25" t="s">
        <v>76</v>
      </c>
      <c r="B83" s="22"/>
      <c r="C83" s="22"/>
      <c r="E83" s="4">
        <v>1887</v>
      </c>
      <c r="G83" s="4">
        <v>2626</v>
      </c>
      <c r="I83" s="4">
        <v>1600</v>
      </c>
      <c r="K83" s="4">
        <v>2091</v>
      </c>
      <c r="M83" s="4">
        <v>1876</v>
      </c>
    </row>
    <row r="84" spans="1:14" ht="11.45" customHeight="1" x14ac:dyDescent="0.2">
      <c r="A84" s="24" t="s">
        <v>77</v>
      </c>
      <c r="B84" s="22"/>
      <c r="C84" s="22"/>
      <c r="E84" s="4">
        <v>144330</v>
      </c>
      <c r="G84" s="4">
        <v>199777</v>
      </c>
      <c r="I84" s="4">
        <v>130958</v>
      </c>
      <c r="K84" s="4">
        <v>128173</v>
      </c>
      <c r="M84" s="4">
        <v>126685</v>
      </c>
    </row>
    <row r="85" spans="1:14" ht="11.45" customHeight="1" x14ac:dyDescent="0.2">
      <c r="A85" s="32" t="s">
        <v>78</v>
      </c>
      <c r="B85" s="32"/>
      <c r="C85" s="32"/>
    </row>
    <row r="86" spans="1:14" ht="11.45" customHeight="1" x14ac:dyDescent="0.2">
      <c r="A86" s="24" t="s">
        <v>79</v>
      </c>
      <c r="B86" s="22"/>
      <c r="C86" s="22" t="s">
        <v>35</v>
      </c>
      <c r="E86" s="4">
        <v>1202</v>
      </c>
      <c r="G86" s="4">
        <v>1084</v>
      </c>
      <c r="I86" s="4">
        <v>1019</v>
      </c>
      <c r="K86" s="4">
        <v>898</v>
      </c>
      <c r="M86" s="4">
        <v>820</v>
      </c>
    </row>
    <row r="87" spans="1:14" ht="11.45" customHeight="1" x14ac:dyDescent="0.2">
      <c r="A87" s="24" t="s">
        <v>80</v>
      </c>
      <c r="B87" s="22"/>
      <c r="C87" s="22" t="s">
        <v>31</v>
      </c>
      <c r="E87" s="4">
        <v>16894</v>
      </c>
      <c r="G87" s="4">
        <v>16176</v>
      </c>
      <c r="I87" s="4">
        <v>15345</v>
      </c>
      <c r="K87" s="4">
        <v>15494</v>
      </c>
      <c r="M87" s="4">
        <v>15500</v>
      </c>
      <c r="N87" s="5" t="s">
        <v>10</v>
      </c>
    </row>
    <row r="88" spans="1:14" ht="11.45" customHeight="1" x14ac:dyDescent="0.2">
      <c r="A88" s="24" t="s">
        <v>81</v>
      </c>
      <c r="B88" s="22"/>
      <c r="C88" s="22" t="s">
        <v>82</v>
      </c>
      <c r="E88" s="4">
        <v>318</v>
      </c>
      <c r="G88" s="4">
        <v>269</v>
      </c>
      <c r="I88" s="4">
        <v>193</v>
      </c>
      <c r="K88" s="4">
        <v>57</v>
      </c>
      <c r="M88" s="14" t="s">
        <v>13</v>
      </c>
    </row>
    <row r="89" spans="1:14" ht="11.45" customHeight="1" x14ac:dyDescent="0.2">
      <c r="A89" s="24" t="s">
        <v>83</v>
      </c>
      <c r="B89" s="22"/>
      <c r="C89" s="22"/>
    </row>
    <row r="90" spans="1:14" ht="11.45" customHeight="1" x14ac:dyDescent="0.2">
      <c r="A90" s="25" t="s">
        <v>84</v>
      </c>
      <c r="B90" s="22"/>
      <c r="C90" s="22" t="s">
        <v>85</v>
      </c>
      <c r="E90" s="8">
        <v>189</v>
      </c>
      <c r="G90" s="8">
        <v>155</v>
      </c>
      <c r="I90" s="8">
        <v>103</v>
      </c>
      <c r="K90" s="8">
        <v>36</v>
      </c>
      <c r="M90" s="8">
        <v>17</v>
      </c>
    </row>
    <row r="91" spans="1:14" ht="11.45" customHeight="1" x14ac:dyDescent="0.2">
      <c r="A91" s="25" t="s">
        <v>97</v>
      </c>
      <c r="B91" s="22"/>
      <c r="C91" s="22" t="s">
        <v>31</v>
      </c>
      <c r="E91" s="4">
        <v>1210000</v>
      </c>
      <c r="F91" s="5" t="s">
        <v>21</v>
      </c>
      <c r="G91" s="4">
        <v>1200000</v>
      </c>
      <c r="H91" s="5" t="s">
        <v>21</v>
      </c>
      <c r="I91" s="4">
        <v>1110000</v>
      </c>
      <c r="J91" s="5" t="s">
        <v>21</v>
      </c>
      <c r="K91" s="4">
        <v>1110000</v>
      </c>
      <c r="L91" s="5" t="s">
        <v>21</v>
      </c>
      <c r="M91" s="4">
        <v>1190000</v>
      </c>
    </row>
    <row r="92" spans="1:14" ht="11.45" customHeight="1" x14ac:dyDescent="0.2">
      <c r="A92" s="33" t="s">
        <v>94</v>
      </c>
      <c r="B92" s="34"/>
      <c r="C92" s="34"/>
      <c r="D92" s="34"/>
      <c r="E92" s="34"/>
      <c r="F92" s="34"/>
      <c r="G92" s="34"/>
      <c r="H92" s="34"/>
      <c r="I92" s="34"/>
      <c r="J92" s="34"/>
      <c r="K92" s="34"/>
      <c r="L92" s="34"/>
      <c r="M92" s="34"/>
      <c r="N92" s="34"/>
    </row>
    <row r="93" spans="1:14" ht="22.5" customHeight="1" x14ac:dyDescent="0.2">
      <c r="A93" s="35" t="s">
        <v>93</v>
      </c>
      <c r="B93" s="36"/>
      <c r="C93" s="36"/>
      <c r="D93" s="36"/>
      <c r="E93" s="36"/>
      <c r="F93" s="36"/>
      <c r="G93" s="36"/>
      <c r="H93" s="36"/>
      <c r="I93" s="36"/>
      <c r="J93" s="36"/>
      <c r="K93" s="36"/>
      <c r="L93" s="36"/>
      <c r="M93" s="36"/>
      <c r="N93" s="36"/>
    </row>
    <row r="94" spans="1:14" ht="47.45" customHeight="1" x14ac:dyDescent="0.2">
      <c r="A94" s="37" t="s">
        <v>98</v>
      </c>
      <c r="B94" s="36"/>
      <c r="C94" s="36"/>
      <c r="D94" s="36"/>
      <c r="E94" s="36"/>
      <c r="F94" s="36"/>
      <c r="G94" s="36"/>
      <c r="H94" s="36"/>
      <c r="I94" s="36"/>
      <c r="J94" s="36"/>
      <c r="K94" s="36"/>
      <c r="L94" s="36"/>
      <c r="M94" s="36"/>
      <c r="N94" s="36"/>
    </row>
    <row r="95" spans="1:14" ht="11.45" customHeight="1" x14ac:dyDescent="0.2">
      <c r="A95" s="30" t="s">
        <v>86</v>
      </c>
      <c r="B95" s="31"/>
      <c r="C95" s="31"/>
      <c r="D95" s="31"/>
      <c r="E95" s="31"/>
      <c r="F95" s="31"/>
      <c r="G95" s="31"/>
      <c r="H95" s="31"/>
      <c r="I95" s="31"/>
      <c r="J95" s="31"/>
      <c r="K95" s="31"/>
      <c r="L95" s="31"/>
      <c r="M95" s="31"/>
      <c r="N95" s="31"/>
    </row>
  </sheetData>
  <mergeCells count="13">
    <mergeCell ref="A6:C6"/>
    <mergeCell ref="A1:N1"/>
    <mergeCell ref="A2:N2"/>
    <mergeCell ref="A3:N3"/>
    <mergeCell ref="A4:N4"/>
    <mergeCell ref="A5:N5"/>
    <mergeCell ref="A95:N95"/>
    <mergeCell ref="A7:C7"/>
    <mergeCell ref="A54:C54"/>
    <mergeCell ref="A85:C85"/>
    <mergeCell ref="A92:N92"/>
    <mergeCell ref="A93:N93"/>
    <mergeCell ref="A94:N94"/>
  </mergeCells>
  <printOptions horizontalCentered="1"/>
  <pageMargins left="0.5" right="0.5" top="0.5" bottom="0.75" header="0.3" footer="0.3"/>
  <pageSetup scale="95" fitToHeight="0" orientation="portrait" r:id="rId1"/>
  <ignoredErrors>
    <ignoredError sqref="E6:M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vt:lpstr>
      <vt:lpstr>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Republic of Korea 2021</dc:title>
  <dc:subject/>
  <dc:creator/>
  <cp:keywords>minerals</cp:keywords>
  <dc:description/>
  <cp:lastModifiedBy/>
  <cp:revision>1</cp:revision>
  <dcterms:created xsi:type="dcterms:W3CDTF">2025-03-25T21:23:55Z</dcterms:created>
  <dcterms:modified xsi:type="dcterms:W3CDTF">2025-03-25T21:24:26Z</dcterms:modified>
  <cp:category/>
  <cp:contentStatus/>
</cp:coreProperties>
</file>