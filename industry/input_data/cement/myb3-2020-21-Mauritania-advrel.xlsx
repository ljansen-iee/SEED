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WebPosts\todo20240807\"/>
    </mc:Choice>
  </mc:AlternateContent>
  <xr:revisionPtr revIDLastSave="0" documentId="13_ncr:1_{729DB462-45D5-4277-BF80-EC43439D0102}" xr6:coauthVersionLast="47" xr6:coauthVersionMax="47" xr10:uidLastSave="{00000000-0000-0000-0000-000000000000}"/>
  <bookViews>
    <workbookView xWindow="3150" yWindow="930" windowWidth="14850" windowHeight="13890" xr2:uid="{00000000-000D-0000-FFFF-FFFF00000000}"/>
  </bookViews>
  <sheets>
    <sheet name="Note" sheetId="2" r:id="rId1"/>
    <sheet name="Table 1" sheetId="1" r:id="rId2"/>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8"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 i="1" l="1"/>
  <c r="P9" i="1"/>
  <c r="P11" i="1"/>
  <c r="P12" i="1"/>
  <c r="P14" i="1"/>
  <c r="P15" i="1"/>
  <c r="P16" i="1"/>
  <c r="P8" i="1"/>
  <c r="O9" i="1"/>
  <c r="O11" i="1"/>
  <c r="O12" i="1"/>
  <c r="O14" i="1"/>
  <c r="O16" i="1"/>
  <c r="O8" i="1"/>
</calcChain>
</file>

<file path=xl/sharedStrings.xml><?xml version="1.0" encoding="utf-8"?>
<sst xmlns="http://schemas.openxmlformats.org/spreadsheetml/2006/main" count="45" uniqueCount="36">
  <si>
    <t>TABLE 1</t>
  </si>
  <si>
    <t>(Metric tons, gross weight, unless otherwise specified)</t>
  </si>
  <si>
    <t>METALS</t>
  </si>
  <si>
    <t>Copper, mine, concentrates, Cu content</t>
  </si>
  <si>
    <t>r</t>
  </si>
  <si>
    <t>Gold, mine, Au content</t>
  </si>
  <si>
    <t>kilograms</t>
  </si>
  <si>
    <t>Iron ore, mine:</t>
  </si>
  <si>
    <t>Gross weight</t>
  </si>
  <si>
    <t>thousand metric tons</t>
  </si>
  <si>
    <t>Fe content</t>
  </si>
  <si>
    <t>do.</t>
  </si>
  <si>
    <t>INDUSTRIAL MINERALS</t>
  </si>
  <si>
    <t>Cement, hydraulic</t>
  </si>
  <si>
    <t>e</t>
  </si>
  <si>
    <t>MINERAL FUELS AND RELATED MATERIALS</t>
  </si>
  <si>
    <t>Petroleum, crude</t>
  </si>
  <si>
    <t>thousand 42-gallon barrels</t>
  </si>
  <si>
    <t>--</t>
  </si>
  <si>
    <t>Gypsum, mine</t>
  </si>
  <si>
    <r>
      <t>MAURITANIA: PRODUCTION OF MINERAL COMMODITIES</t>
    </r>
    <r>
      <rPr>
        <vertAlign val="superscript"/>
        <sz val="8"/>
        <rFont val="Times New Roman"/>
        <family val="1"/>
      </rPr>
      <t>1</t>
    </r>
  </si>
  <si>
    <r>
      <t>Commodity</t>
    </r>
    <r>
      <rPr>
        <vertAlign val="superscript"/>
        <sz val="8"/>
        <rFont val="Times New Roman"/>
        <family val="1"/>
      </rPr>
      <t>2</t>
    </r>
  </si>
  <si>
    <r>
      <t>Salt</t>
    </r>
    <r>
      <rPr>
        <vertAlign val="superscript"/>
        <sz val="8"/>
        <rFont val="Times New Roman"/>
        <family val="1"/>
      </rPr>
      <t>e</t>
    </r>
  </si>
  <si>
    <r>
      <t>e</t>
    </r>
    <r>
      <rPr>
        <sz val="8"/>
        <rFont val="Times New Roman"/>
        <family val="1"/>
      </rPr>
      <t xml:space="preserve">Estimated.  </t>
    </r>
    <r>
      <rPr>
        <vertAlign val="superscript"/>
        <sz val="8"/>
        <rFont val="Times New Roman"/>
        <family val="1"/>
      </rPr>
      <t>r</t>
    </r>
    <r>
      <rPr>
        <sz val="8"/>
        <rFont val="Times New Roman"/>
        <family val="1"/>
      </rPr>
      <t>Revised.  do. Ditto.  -- Zero.</t>
    </r>
  </si>
  <si>
    <r>
      <t>1</t>
    </r>
    <r>
      <rPr>
        <sz val="8"/>
        <rFont val="Times New Roman"/>
        <family val="1"/>
      </rPr>
      <t>Table includes data available through August 22, 2022. All data are reported unless otherwise noted. Estimated data are rounded to no more than three significant digits.</t>
    </r>
  </si>
  <si>
    <r>
      <t>2</t>
    </r>
    <r>
      <rPr>
        <sz val="8"/>
        <rFont val="Times New Roman"/>
        <family val="1"/>
      </rPr>
      <t>In addition to the commodities listed, crude construction materials (clays, sand and gravel, and stone), granite, marble, phosphate rock, quartz, and raw steel may have been produced, but available information was inadequate to make reliable estimates of output.</t>
    </r>
  </si>
  <si>
    <t>Advance Data Release of the</t>
  </si>
  <si>
    <t>2020-21 Annual Tables</t>
  </si>
  <si>
    <t>These tables are an advance data release of those to be</t>
  </si>
  <si>
    <t>incorporated in the USGS Minerals Yearbook 2020-21,</t>
  </si>
  <si>
    <t xml:space="preserve">v. III, International. The full report (text and tables) </t>
  </si>
  <si>
    <t xml:space="preserve">will be released when publication layout is complete. </t>
  </si>
  <si>
    <t>Substantive changes to tables are not anticipated, but</t>
  </si>
  <si>
    <t xml:space="preserve"> would be incorporated into the full report, which will </t>
  </si>
  <si>
    <t>replace these advance data release tables.</t>
  </si>
  <si>
    <t>Posted: August 7,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</si>
</sst>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11" x14ac:knownFonts="1">
    <font>
      <sz val="12"/>
      <color theme="1"/>
      <name val="Calibri"/>
      <family val="2"/>
      <scheme val="minor"/>
    </font>
    <font>
      <sz val="11"/>
      <color theme="1"/>
      <name val="Calibri"/>
      <family val="2"/>
      <scheme val="minor"/>
    </font>
    <font>
      <sz val="12"/>
      <color theme="1"/>
      <name val="Calibri"/>
      <family val="2"/>
      <scheme val="minor"/>
    </font>
    <font>
      <sz val="8"/>
      <name val="Times New Roman"/>
      <family val="1"/>
    </font>
    <font>
      <vertAlign val="superscript"/>
      <sz val="8"/>
      <name val="Times New Roman"/>
      <family val="1"/>
    </font>
    <font>
      <b/>
      <u/>
      <sz val="24"/>
      <color rgb="FF000000"/>
      <name val="Times New Roman"/>
      <family val="1"/>
    </font>
    <font>
      <b/>
      <u/>
      <sz val="36"/>
      <color rgb="FF000000"/>
      <name val="Times New Roman"/>
      <family val="1"/>
    </font>
    <font>
      <sz val="18"/>
      <color theme="1"/>
      <name val="Times New Roman"/>
      <family val="1"/>
    </font>
    <font>
      <sz val="18"/>
      <color theme="1"/>
      <name val="Calibri"/>
      <family val="2"/>
      <scheme val="minor"/>
    </font>
    <font>
      <sz val="18"/>
      <color rgb="FF000000"/>
      <name val="Times New Roman"/>
      <family val="1"/>
    </font>
    <font>
      <sz val="14"/>
      <color rgb="FF000000"/>
      <name val="Times New Roman"/>
      <family val="1"/>
    </font>
  </fonts>
  <fills count="3">
    <fill>
      <patternFill patternType="none"/>
    </fill>
    <fill>
      <patternFill patternType="gray125"/>
    </fill>
    <fill>
      <patternFill patternType="solid">
        <fgColor rgb="FFFFFFCC"/>
        <bgColor indexed="64"/>
      </patternFill>
    </fill>
  </fills>
  <borders count="12">
    <border>
      <left/>
      <right/>
      <top/>
      <bottom/>
      <diagonal/>
    </border>
    <border>
      <left/>
      <right/>
      <top style="hair">
        <color indexed="64"/>
      </top>
      <bottom/>
      <diagonal/>
    </border>
    <border>
      <left/>
      <right/>
      <top style="hair">
        <color indexed="64"/>
      </top>
      <bottom style="hair">
        <color indexed="64"/>
      </bottom>
      <diagonal/>
    </border>
    <border>
      <left/>
      <right/>
      <top/>
      <bottom style="hair">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43" fontId="2" fillId="0" borderId="0" applyFont="0" applyFill="0" applyBorder="0" applyAlignment="0" applyProtection="0"/>
    <xf numFmtId="0" fontId="3" fillId="0" borderId="0"/>
    <xf numFmtId="0" fontId="1" fillId="0" borderId="0"/>
  </cellStyleXfs>
  <cellXfs count="46">
    <xf numFmtId="0" fontId="0" fillId="0" borderId="0" xfId="0" applyNumberFormat="1"/>
    <xf numFmtId="0" fontId="3" fillId="0" borderId="0" xfId="0" applyFont="1" applyFill="1" applyAlignment="1">
      <alignment vertical="center"/>
    </xf>
    <xf numFmtId="0" fontId="3" fillId="0" borderId="0" xfId="0" applyFont="1" applyFill="1" applyAlignment="1">
      <alignment horizontal="left" vertical="center"/>
    </xf>
    <xf numFmtId="165" fontId="3" fillId="0" borderId="0" xfId="0" applyNumberFormat="1" applyFont="1" applyFill="1" applyAlignment="1">
      <alignment vertical="center"/>
    </xf>
    <xf numFmtId="1" fontId="3" fillId="0" borderId="0" xfId="0" applyNumberFormat="1" applyFont="1" applyFill="1" applyAlignment="1">
      <alignment vertical="center"/>
    </xf>
    <xf numFmtId="49" fontId="3" fillId="0" borderId="2" xfId="0" applyNumberFormat="1" applyFont="1" applyFill="1" applyBorder="1" applyAlignment="1">
      <alignment horizontal="right" vertical="center"/>
    </xf>
    <xf numFmtId="49" fontId="3" fillId="0" borderId="2" xfId="1" applyNumberFormat="1" applyFont="1" applyFill="1" applyBorder="1" applyAlignment="1">
      <alignment horizontal="right" vertical="center"/>
    </xf>
    <xf numFmtId="49" fontId="4" fillId="0" borderId="2" xfId="0" applyNumberFormat="1" applyFont="1" applyFill="1" applyBorder="1" applyAlignment="1">
      <alignment horizontal="left" vertical="center"/>
    </xf>
    <xf numFmtId="0" fontId="3" fillId="0" borderId="0" xfId="0" applyFont="1" applyFill="1" applyAlignment="1">
      <alignment horizontal="right" vertical="center"/>
    </xf>
    <xf numFmtId="164" fontId="3" fillId="0" borderId="0" xfId="1" applyNumberFormat="1" applyFont="1" applyFill="1" applyAlignment="1">
      <alignment horizontal="right"/>
    </xf>
    <xf numFmtId="0" fontId="4" fillId="0" borderId="0" xfId="0" applyFont="1" applyFill="1" applyAlignment="1">
      <alignment horizontal="left" vertical="center"/>
    </xf>
    <xf numFmtId="49" fontId="3" fillId="0" borderId="2" xfId="0" applyNumberFormat="1" applyFont="1" applyFill="1" applyBorder="1" applyAlignment="1">
      <alignment horizontal="left" vertical="center"/>
    </xf>
    <xf numFmtId="0" fontId="3" fillId="0" borderId="3" xfId="0" applyFont="1" applyFill="1" applyBorder="1" applyAlignment="1">
      <alignment horizontal="right" vertical="center"/>
    </xf>
    <xf numFmtId="3" fontId="3" fillId="0" borderId="3" xfId="1" applyNumberFormat="1" applyFont="1" applyFill="1" applyBorder="1" applyAlignment="1">
      <alignment horizontal="right" vertical="center"/>
    </xf>
    <xf numFmtId="49" fontId="4" fillId="0" borderId="3" xfId="0" applyNumberFormat="1" applyFont="1" applyFill="1" applyBorder="1" applyAlignment="1">
      <alignment horizontal="left" vertical="center"/>
    </xf>
    <xf numFmtId="0" fontId="3" fillId="0" borderId="2" xfId="0" applyFont="1" applyFill="1" applyBorder="1" applyAlignment="1">
      <alignment horizontal="right" vertical="center"/>
    </xf>
    <xf numFmtId="3" fontId="3" fillId="0" borderId="2" xfId="1" applyNumberFormat="1" applyFont="1" applyFill="1" applyBorder="1" applyAlignment="1">
      <alignment horizontal="right" vertical="center"/>
    </xf>
    <xf numFmtId="3" fontId="3" fillId="0" borderId="0" xfId="1" applyNumberFormat="1" applyFont="1" applyFill="1" applyAlignment="1">
      <alignment horizontal="right" vertical="center"/>
    </xf>
    <xf numFmtId="49" fontId="4" fillId="0" borderId="0" xfId="0" applyNumberFormat="1" applyFont="1" applyFill="1" applyAlignment="1">
      <alignment horizontal="left" vertical="center"/>
    </xf>
    <xf numFmtId="49" fontId="3" fillId="0" borderId="2" xfId="0" applyNumberFormat="1" applyFont="1" applyFill="1" applyBorder="1" applyAlignment="1">
      <alignment horizontal="left" vertical="center" indent="1"/>
    </xf>
    <xf numFmtId="49" fontId="3" fillId="0" borderId="0" xfId="1" applyNumberFormat="1" applyFont="1" applyFill="1" applyAlignment="1">
      <alignment horizontal="right" vertical="center"/>
    </xf>
    <xf numFmtId="49" fontId="3" fillId="0" borderId="2" xfId="0" applyNumberFormat="1" applyFont="1" applyFill="1" applyBorder="1" applyAlignment="1">
      <alignment horizontal="center" vertical="center"/>
    </xf>
    <xf numFmtId="49" fontId="3" fillId="0" borderId="0" xfId="0" applyNumberFormat="1" applyFont="1" applyFill="1" applyAlignment="1">
      <alignment horizontal="center" vertical="center"/>
    </xf>
    <xf numFmtId="49" fontId="3" fillId="0" borderId="3" xfId="0" applyNumberFormat="1" applyFont="1" applyFill="1" applyBorder="1" applyAlignment="1">
      <alignment horizontal="center" vertical="center"/>
    </xf>
    <xf numFmtId="49" fontId="4" fillId="0" borderId="1" xfId="0" applyNumberFormat="1" applyFont="1" applyFill="1" applyBorder="1" applyAlignment="1">
      <alignment horizontal="left" vertical="center"/>
    </xf>
    <xf numFmtId="49" fontId="4" fillId="0" borderId="0" xfId="0" applyNumberFormat="1" applyFont="1" applyFill="1" applyAlignment="1">
      <alignment horizontal="left" vertical="center" wrapText="1"/>
    </xf>
    <xf numFmtId="0" fontId="5" fillId="2" borderId="4" xfId="2" applyFont="1" applyFill="1" applyBorder="1" applyAlignment="1">
      <alignment horizontal="center"/>
    </xf>
    <xf numFmtId="0" fontId="5" fillId="2" borderId="5" xfId="2" applyFont="1" applyFill="1" applyBorder="1" applyAlignment="1">
      <alignment horizontal="center"/>
    </xf>
    <xf numFmtId="0" fontId="5" fillId="2" borderId="6" xfId="2" applyFont="1" applyFill="1" applyBorder="1" applyAlignment="1">
      <alignment horizontal="center"/>
    </xf>
    <xf numFmtId="0" fontId="1" fillId="0" borderId="0" xfId="3"/>
    <xf numFmtId="0" fontId="6" fillId="2" borderId="7" xfId="2" applyFont="1" applyFill="1" applyBorder="1" applyAlignment="1">
      <alignment horizontal="center"/>
    </xf>
    <xf numFmtId="0" fontId="6" fillId="2" borderId="0" xfId="2" applyFont="1" applyFill="1" applyAlignment="1">
      <alignment horizontal="center"/>
    </xf>
    <xf numFmtId="0" fontId="6" fillId="2" borderId="8" xfId="2" applyFont="1" applyFill="1" applyBorder="1" applyAlignment="1">
      <alignment horizontal="center"/>
    </xf>
    <xf numFmtId="0" fontId="7" fillId="2" borderId="7" xfId="3" applyFont="1" applyFill="1" applyBorder="1" applyAlignment="1">
      <alignment horizontal="center"/>
    </xf>
    <xf numFmtId="0" fontId="7" fillId="2" borderId="0" xfId="3" applyFont="1" applyFill="1" applyAlignment="1">
      <alignment horizontal="center"/>
    </xf>
    <xf numFmtId="0" fontId="7" fillId="2" borderId="8" xfId="3" applyFont="1" applyFill="1" applyBorder="1" applyAlignment="1">
      <alignment horizontal="center"/>
    </xf>
    <xf numFmtId="0" fontId="8" fillId="0" borderId="0" xfId="3" applyFont="1" applyAlignment="1">
      <alignment horizontal="left"/>
    </xf>
    <xf numFmtId="0" fontId="9" fillId="2" borderId="7" xfId="3" applyFont="1" applyFill="1" applyBorder="1" applyAlignment="1">
      <alignment horizontal="center" vertical="center" wrapText="1" readingOrder="1"/>
    </xf>
    <xf numFmtId="0" fontId="9" fillId="2" borderId="0" xfId="3" applyFont="1" applyFill="1" applyAlignment="1">
      <alignment horizontal="center" vertical="center" wrapText="1" readingOrder="1"/>
    </xf>
    <xf numFmtId="0" fontId="9" fillId="2" borderId="8" xfId="3" applyFont="1" applyFill="1" applyBorder="1" applyAlignment="1">
      <alignment horizontal="center" vertical="center" wrapText="1" readingOrder="1"/>
    </xf>
    <xf numFmtId="0" fontId="10" fillId="2" borderId="7" xfId="3" applyFont="1" applyFill="1" applyBorder="1" applyAlignment="1">
      <alignment horizontal="center" vertical="center" readingOrder="1"/>
    </xf>
    <xf numFmtId="0" fontId="10" fillId="2" borderId="0" xfId="3" applyFont="1" applyFill="1" applyAlignment="1">
      <alignment horizontal="center" vertical="center" readingOrder="1"/>
    </xf>
    <xf numFmtId="0" fontId="10" fillId="2" borderId="8" xfId="3" applyFont="1" applyFill="1" applyBorder="1" applyAlignment="1">
      <alignment horizontal="center" vertical="center" readingOrder="1"/>
    </xf>
    <xf numFmtId="0" fontId="9" fillId="2" borderId="9" xfId="3" applyFont="1" applyFill="1" applyBorder="1" applyAlignment="1">
      <alignment horizontal="centerContinuous" vertical="center" readingOrder="1"/>
    </xf>
    <xf numFmtId="0" fontId="1" fillId="2" borderId="10" xfId="3" applyFill="1" applyBorder="1" applyAlignment="1">
      <alignment horizontal="centerContinuous"/>
    </xf>
    <xf numFmtId="0" fontId="1" fillId="2" borderId="11" xfId="3" applyFill="1" applyBorder="1" applyAlignment="1">
      <alignment horizontal="centerContinuous"/>
    </xf>
  </cellXfs>
  <cellStyles count="4">
    <cellStyle name="Comma" xfId="1" builtinId="3"/>
    <cellStyle name="Normal" xfId="0" builtinId="0"/>
    <cellStyle name="Normal 2" xfId="2" xr:uid="{30563577-B601-486B-B090-3EDCE98C2B4E}"/>
    <cellStyle name="Normal 4" xfId="3" xr:uid="{C957AB81-A757-4CEC-B955-BCC0D8045579}"/>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283845</xdr:colOff>
      <xdr:row>2</xdr:row>
      <xdr:rowOff>171605</xdr:rowOff>
    </xdr:to>
    <xdr:pic>
      <xdr:nvPicPr>
        <xdr:cNvPr id="2" name="Picture 1" title="USGS logo">
          <a:extLst>
            <a:ext uri="{FF2B5EF4-FFF2-40B4-BE49-F238E27FC236}">
              <a16:creationId xmlns:a16="http://schemas.microsoft.com/office/drawing/2014/main" id="{CE4D276F-BC3A-4C58-83D1-4DE4EBA76974}"/>
            </a:ext>
          </a:extLst>
        </xdr:cNvPr>
        <xdr:cNvPicPr>
          <a:picLocks noChangeAspect="1"/>
        </xdr:cNvPicPr>
      </xdr:nvPicPr>
      <xdr:blipFill>
        <a:blip xmlns:r="http://schemas.openxmlformats.org/officeDocument/2006/relationships" r:embed="rId1"/>
        <a:stretch>
          <a:fillRect/>
        </a:stretch>
      </xdr:blipFill>
      <xdr:spPr>
        <a:xfrm>
          <a:off x="0" y="0"/>
          <a:ext cx="1407795" cy="5526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115B3-B4CB-40F5-B28B-E362DFA9BA8F}">
  <sheetPr>
    <tabColor theme="0"/>
  </sheetPr>
  <dimension ref="A5:L16"/>
  <sheetViews>
    <sheetView showGridLines="0" tabSelected="1" workbookViewId="0">
      <selection activeCell="A15" sqref="A15:L15"/>
    </sheetView>
  </sheetViews>
  <sheetFormatPr defaultColWidth="7.375" defaultRowHeight="15" x14ac:dyDescent="0.25"/>
  <cols>
    <col min="1" max="16384" width="7.375" style="29"/>
  </cols>
  <sheetData>
    <row r="5" spans="1:12" ht="42.75" customHeight="1" x14ac:dyDescent="0.4">
      <c r="A5" s="26" t="s">
        <v>26</v>
      </c>
      <c r="B5" s="27"/>
      <c r="C5" s="27"/>
      <c r="D5" s="27"/>
      <c r="E5" s="27"/>
      <c r="F5" s="27"/>
      <c r="G5" s="27"/>
      <c r="H5" s="27"/>
      <c r="I5" s="27"/>
      <c r="J5" s="27"/>
      <c r="K5" s="27"/>
      <c r="L5" s="28"/>
    </row>
    <row r="6" spans="1:12" ht="48" customHeight="1" x14ac:dyDescent="0.6">
      <c r="A6" s="30" t="s">
        <v>27</v>
      </c>
      <c r="B6" s="31"/>
      <c r="C6" s="31"/>
      <c r="D6" s="31"/>
      <c r="E6" s="31"/>
      <c r="F6" s="31"/>
      <c r="G6" s="31"/>
      <c r="H6" s="31"/>
      <c r="I6" s="31"/>
      <c r="J6" s="31"/>
      <c r="K6" s="31"/>
      <c r="L6" s="32"/>
    </row>
    <row r="7" spans="1:12" s="36" customFormat="1" ht="23.25" x14ac:dyDescent="0.35">
      <c r="A7" s="33" t="s">
        <v>28</v>
      </c>
      <c r="B7" s="34"/>
      <c r="C7" s="34"/>
      <c r="D7" s="34"/>
      <c r="E7" s="34"/>
      <c r="F7" s="34"/>
      <c r="G7" s="34"/>
      <c r="H7" s="34"/>
      <c r="I7" s="34"/>
      <c r="J7" s="34"/>
      <c r="K7" s="34"/>
      <c r="L7" s="35"/>
    </row>
    <row r="8" spans="1:12" s="36" customFormat="1" ht="23.25" x14ac:dyDescent="0.35">
      <c r="A8" s="33" t="s">
        <v>29</v>
      </c>
      <c r="B8" s="34"/>
      <c r="C8" s="34"/>
      <c r="D8" s="34"/>
      <c r="E8" s="34"/>
      <c r="F8" s="34"/>
      <c r="G8" s="34"/>
      <c r="H8" s="34"/>
      <c r="I8" s="34"/>
      <c r="J8" s="34"/>
      <c r="K8" s="34"/>
      <c r="L8" s="35"/>
    </row>
    <row r="9" spans="1:12" s="36" customFormat="1" ht="23.25" x14ac:dyDescent="0.35">
      <c r="A9" s="33" t="s">
        <v>30</v>
      </c>
      <c r="B9" s="34"/>
      <c r="C9" s="34"/>
      <c r="D9" s="34"/>
      <c r="E9" s="34"/>
      <c r="F9" s="34"/>
      <c r="G9" s="34"/>
      <c r="H9" s="34"/>
      <c r="I9" s="34"/>
      <c r="J9" s="34"/>
      <c r="K9" s="34"/>
      <c r="L9" s="35"/>
    </row>
    <row r="10" spans="1:12" s="36" customFormat="1" ht="23.25" x14ac:dyDescent="0.35">
      <c r="A10" s="33" t="s">
        <v>31</v>
      </c>
      <c r="B10" s="34"/>
      <c r="C10" s="34"/>
      <c r="D10" s="34"/>
      <c r="E10" s="34"/>
      <c r="F10" s="34"/>
      <c r="G10" s="34"/>
      <c r="H10" s="34"/>
      <c r="I10" s="34"/>
      <c r="J10" s="34"/>
      <c r="K10" s="34"/>
      <c r="L10" s="35"/>
    </row>
    <row r="11" spans="1:12" s="36" customFormat="1" ht="23.25" x14ac:dyDescent="0.35">
      <c r="A11" s="33" t="s">
        <v>32</v>
      </c>
      <c r="B11" s="34"/>
      <c r="C11" s="34"/>
      <c r="D11" s="34"/>
      <c r="E11" s="34"/>
      <c r="F11" s="34"/>
      <c r="G11" s="34"/>
      <c r="H11" s="34"/>
      <c r="I11" s="34"/>
      <c r="J11" s="34"/>
      <c r="K11" s="34"/>
      <c r="L11" s="35"/>
    </row>
    <row r="12" spans="1:12" s="36" customFormat="1" ht="23.25" x14ac:dyDescent="0.35">
      <c r="A12" s="33" t="s">
        <v>33</v>
      </c>
      <c r="B12" s="34"/>
      <c r="C12" s="34"/>
      <c r="D12" s="34"/>
      <c r="E12" s="34"/>
      <c r="F12" s="34"/>
      <c r="G12" s="34"/>
      <c r="H12" s="34"/>
      <c r="I12" s="34"/>
      <c r="J12" s="34"/>
      <c r="K12" s="34"/>
      <c r="L12" s="35"/>
    </row>
    <row r="13" spans="1:12" s="36" customFormat="1" ht="23.25" x14ac:dyDescent="0.35">
      <c r="A13" s="33" t="s">
        <v>34</v>
      </c>
      <c r="B13" s="34"/>
      <c r="C13" s="34"/>
      <c r="D13" s="34"/>
      <c r="E13" s="34"/>
      <c r="F13" s="34"/>
      <c r="G13" s="34"/>
      <c r="H13" s="34"/>
      <c r="I13" s="34"/>
      <c r="J13" s="34"/>
      <c r="K13" s="34"/>
      <c r="L13" s="35"/>
    </row>
    <row r="14" spans="1:12" ht="23.45" customHeight="1" x14ac:dyDescent="0.25">
      <c r="A14" s="37"/>
      <c r="B14" s="38"/>
      <c r="C14" s="38"/>
      <c r="D14" s="38"/>
      <c r="E14" s="38"/>
      <c r="F14" s="38"/>
      <c r="G14" s="38"/>
      <c r="H14" s="38"/>
      <c r="I14" s="38"/>
      <c r="J14" s="38"/>
      <c r="K14" s="38"/>
      <c r="L14" s="39"/>
    </row>
    <row r="15" spans="1:12" ht="21" customHeight="1" x14ac:dyDescent="0.25">
      <c r="A15" s="40" t="s">
        <v>35</v>
      </c>
      <c r="B15" s="41"/>
      <c r="C15" s="41"/>
      <c r="D15" s="41"/>
      <c r="E15" s="41"/>
      <c r="F15" s="41"/>
      <c r="G15" s="41"/>
      <c r="H15" s="41"/>
      <c r="I15" s="41"/>
      <c r="J15" s="41"/>
      <c r="K15" s="41"/>
      <c r="L15" s="42"/>
    </row>
    <row r="16" spans="1:12" ht="23.25" x14ac:dyDescent="0.25">
      <c r="A16" s="43"/>
      <c r="B16" s="44"/>
      <c r="C16" s="44"/>
      <c r="D16" s="44"/>
      <c r="E16" s="44"/>
      <c r="F16" s="44"/>
      <c r="G16" s="44"/>
      <c r="H16" s="44"/>
      <c r="I16" s="44"/>
      <c r="J16" s="44"/>
      <c r="K16" s="44"/>
      <c r="L16" s="45"/>
    </row>
  </sheetData>
  <mergeCells count="10">
    <mergeCell ref="A11:L11"/>
    <mergeCell ref="A12:L12"/>
    <mergeCell ref="A13:L13"/>
    <mergeCell ref="A15:L15"/>
    <mergeCell ref="A5:L5"/>
    <mergeCell ref="A6:L6"/>
    <mergeCell ref="A7:L7"/>
    <mergeCell ref="A8:L8"/>
    <mergeCell ref="A9:L9"/>
    <mergeCell ref="A10:L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1"/>
  <sheetViews>
    <sheetView zoomScaleNormal="100" workbookViewId="0">
      <selection sqref="A1:N1"/>
    </sheetView>
  </sheetViews>
  <sheetFormatPr defaultColWidth="8.625" defaultRowHeight="11.25" x14ac:dyDescent="0.2"/>
  <cols>
    <col min="1" max="1" width="20.625" style="2" customWidth="1"/>
    <col min="2" max="2" width="14.625" style="8" customWidth="1"/>
    <col min="3" max="4" width="1.625" style="8" customWidth="1"/>
    <col min="5" max="5" width="7.625" style="9" customWidth="1"/>
    <col min="6" max="6" width="1.625" style="10" customWidth="1"/>
    <col min="7" max="7" width="7.625" style="9" customWidth="1"/>
    <col min="8" max="8" width="1.625" style="10" customWidth="1"/>
    <col min="9" max="9" width="7.625" style="9" customWidth="1"/>
    <col min="10" max="10" width="1.625" style="10" customWidth="1"/>
    <col min="11" max="11" width="7.625" style="9" customWidth="1"/>
    <col min="12" max="12" width="1.625" style="10" customWidth="1"/>
    <col min="13" max="13" width="7.625" style="9" customWidth="1"/>
    <col min="14" max="14" width="1.625" style="10" customWidth="1"/>
    <col min="15" max="15" width="0" style="3" hidden="1" customWidth="1"/>
    <col min="16" max="16" width="0" style="4" hidden="1" customWidth="1"/>
    <col min="17" max="17" width="3.125" style="1" customWidth="1"/>
    <col min="18" max="16384" width="8.625" style="1"/>
  </cols>
  <sheetData>
    <row r="1" spans="1:16" ht="11.25" customHeight="1" x14ac:dyDescent="0.25">
      <c r="A1" s="22" t="s">
        <v>0</v>
      </c>
      <c r="B1" s="22"/>
      <c r="C1" s="22"/>
      <c r="D1" s="22"/>
      <c r="E1" s="22"/>
      <c r="F1" s="22"/>
      <c r="G1" s="22"/>
      <c r="H1" s="22"/>
      <c r="I1" s="22"/>
      <c r="J1" s="22"/>
      <c r="K1" s="22"/>
      <c r="L1" s="22"/>
      <c r="M1" s="22"/>
      <c r="N1" s="22"/>
    </row>
    <row r="2" spans="1:16" ht="11.25" customHeight="1" x14ac:dyDescent="0.25">
      <c r="A2" s="22" t="s">
        <v>20</v>
      </c>
      <c r="B2" s="22"/>
      <c r="C2" s="22"/>
      <c r="D2" s="22"/>
      <c r="E2" s="22"/>
      <c r="F2" s="22"/>
      <c r="G2" s="22"/>
      <c r="H2" s="22"/>
      <c r="I2" s="22"/>
      <c r="J2" s="22"/>
      <c r="K2" s="22"/>
      <c r="L2" s="22"/>
      <c r="M2" s="22"/>
      <c r="N2" s="22"/>
    </row>
    <row r="3" spans="1:16" ht="11.25" customHeight="1" x14ac:dyDescent="0.25">
      <c r="A3" s="22"/>
      <c r="B3" s="22"/>
      <c r="C3" s="22"/>
      <c r="D3" s="22"/>
      <c r="E3" s="22"/>
      <c r="F3" s="22"/>
      <c r="G3" s="22"/>
      <c r="H3" s="22"/>
      <c r="I3" s="22"/>
      <c r="J3" s="22"/>
      <c r="K3" s="22"/>
      <c r="L3" s="22"/>
      <c r="M3" s="22"/>
      <c r="N3" s="22"/>
    </row>
    <row r="4" spans="1:16" ht="11.25" customHeight="1" x14ac:dyDescent="0.25">
      <c r="A4" s="22" t="s">
        <v>1</v>
      </c>
      <c r="B4" s="22"/>
      <c r="C4" s="22"/>
      <c r="D4" s="22"/>
      <c r="E4" s="22"/>
      <c r="F4" s="22"/>
      <c r="G4" s="22"/>
      <c r="H4" s="22"/>
      <c r="I4" s="22"/>
      <c r="J4" s="22"/>
      <c r="K4" s="22"/>
      <c r="L4" s="22"/>
      <c r="M4" s="22"/>
      <c r="N4" s="22"/>
    </row>
    <row r="5" spans="1:16" ht="11.25" customHeight="1" x14ac:dyDescent="0.25">
      <c r="A5" s="23"/>
      <c r="B5" s="23"/>
      <c r="C5" s="23"/>
      <c r="D5" s="23"/>
      <c r="E5" s="23"/>
      <c r="F5" s="23"/>
      <c r="G5" s="23"/>
      <c r="H5" s="23"/>
      <c r="I5" s="23"/>
      <c r="J5" s="23"/>
      <c r="K5" s="23"/>
      <c r="L5" s="23"/>
      <c r="M5" s="23"/>
      <c r="N5" s="23"/>
    </row>
    <row r="6" spans="1:16" ht="11.25" customHeight="1" x14ac:dyDescent="0.25">
      <c r="A6" s="21" t="s">
        <v>21</v>
      </c>
      <c r="B6" s="21"/>
      <c r="C6" s="21"/>
      <c r="D6" s="5"/>
      <c r="E6" s="6">
        <v>2017</v>
      </c>
      <c r="F6" s="7"/>
      <c r="G6" s="6">
        <v>2018</v>
      </c>
      <c r="H6" s="7"/>
      <c r="I6" s="6">
        <v>2019</v>
      </c>
      <c r="J6" s="7"/>
      <c r="K6" s="6">
        <v>2020</v>
      </c>
      <c r="L6" s="7"/>
      <c r="M6" s="6">
        <v>2021</v>
      </c>
      <c r="N6" s="7"/>
    </row>
    <row r="7" spans="1:16" ht="11.25" customHeight="1" x14ac:dyDescent="0.2">
      <c r="A7" s="21" t="s">
        <v>2</v>
      </c>
      <c r="B7" s="21"/>
      <c r="C7" s="21"/>
    </row>
    <row r="8" spans="1:16" ht="11.25" customHeight="1" x14ac:dyDescent="0.25">
      <c r="A8" s="11" t="s">
        <v>3</v>
      </c>
      <c r="B8" s="5"/>
      <c r="C8" s="5"/>
      <c r="D8" s="12"/>
      <c r="E8" s="13">
        <v>28791</v>
      </c>
      <c r="F8" s="14"/>
      <c r="G8" s="13">
        <v>28137</v>
      </c>
      <c r="H8" s="14"/>
      <c r="I8" s="13">
        <v>29620</v>
      </c>
      <c r="J8" s="14" t="s">
        <v>4</v>
      </c>
      <c r="K8" s="13">
        <v>28491</v>
      </c>
      <c r="L8" s="14"/>
      <c r="M8" s="13">
        <v>18845</v>
      </c>
      <c r="N8" s="14"/>
      <c r="O8" s="3">
        <f>(K8-I8)/I8*100</f>
        <v>-3.8</v>
      </c>
      <c r="P8" s="4">
        <f>(M8-K8)/K8*100</f>
        <v>-34</v>
      </c>
    </row>
    <row r="9" spans="1:16" ht="11.25" customHeight="1" x14ac:dyDescent="0.25">
      <c r="A9" s="11" t="s">
        <v>5</v>
      </c>
      <c r="B9" s="5"/>
      <c r="C9" s="5" t="s">
        <v>6</v>
      </c>
      <c r="D9" s="15"/>
      <c r="E9" s="16">
        <v>9096</v>
      </c>
      <c r="F9" s="7"/>
      <c r="G9" s="16">
        <v>9235</v>
      </c>
      <c r="H9" s="7"/>
      <c r="I9" s="16">
        <v>14484</v>
      </c>
      <c r="J9" s="7"/>
      <c r="K9" s="16">
        <v>19725</v>
      </c>
      <c r="L9" s="7"/>
      <c r="M9" s="16">
        <v>8100</v>
      </c>
      <c r="N9" s="7"/>
      <c r="O9" s="3">
        <f t="shared" ref="O9:O16" si="0">(K9-I9)/I9*100</f>
        <v>36.200000000000003</v>
      </c>
      <c r="P9" s="4">
        <f t="shared" ref="P9:P16" si="1">(M9-K9)/K9*100</f>
        <v>-59</v>
      </c>
    </row>
    <row r="10" spans="1:16" ht="11.25" customHeight="1" x14ac:dyDescent="0.25">
      <c r="A10" s="11" t="s">
        <v>7</v>
      </c>
      <c r="B10" s="5"/>
      <c r="C10" s="5"/>
      <c r="E10" s="17"/>
      <c r="F10" s="18"/>
      <c r="G10" s="17"/>
      <c r="H10" s="18"/>
      <c r="I10" s="17"/>
      <c r="J10" s="18"/>
      <c r="K10" s="17"/>
      <c r="L10" s="18"/>
      <c r="M10" s="17"/>
      <c r="N10" s="18"/>
    </row>
    <row r="11" spans="1:16" ht="11.25" customHeight="1" x14ac:dyDescent="0.25">
      <c r="A11" s="19" t="s">
        <v>8</v>
      </c>
      <c r="B11" s="5"/>
      <c r="C11" s="5" t="s">
        <v>9</v>
      </c>
      <c r="D11" s="12"/>
      <c r="E11" s="13">
        <v>11714</v>
      </c>
      <c r="F11" s="14"/>
      <c r="G11" s="13">
        <v>10711</v>
      </c>
      <c r="H11" s="14"/>
      <c r="I11" s="13">
        <v>12200</v>
      </c>
      <c r="J11" s="14"/>
      <c r="K11" s="13">
        <v>12515</v>
      </c>
      <c r="L11" s="14"/>
      <c r="M11" s="13">
        <v>12809</v>
      </c>
      <c r="N11" s="14" t="s">
        <v>14</v>
      </c>
      <c r="O11" s="3">
        <f t="shared" si="0"/>
        <v>2.6</v>
      </c>
      <c r="P11" s="4">
        <f t="shared" si="1"/>
        <v>2</v>
      </c>
    </row>
    <row r="12" spans="1:16" ht="11.25" customHeight="1" x14ac:dyDescent="0.25">
      <c r="A12" s="19" t="s">
        <v>10</v>
      </c>
      <c r="B12" s="5"/>
      <c r="C12" s="5" t="s">
        <v>11</v>
      </c>
      <c r="D12" s="15"/>
      <c r="E12" s="16">
        <v>7320</v>
      </c>
      <c r="F12" s="7"/>
      <c r="G12" s="16">
        <v>6694</v>
      </c>
      <c r="H12" s="7"/>
      <c r="I12" s="16">
        <v>7625</v>
      </c>
      <c r="J12" s="7"/>
      <c r="K12" s="16">
        <v>7822</v>
      </c>
      <c r="L12" s="7"/>
      <c r="M12" s="16">
        <v>8005</v>
      </c>
      <c r="N12" s="7"/>
      <c r="O12" s="3">
        <f t="shared" si="0"/>
        <v>2.6</v>
      </c>
      <c r="P12" s="4">
        <f t="shared" si="1"/>
        <v>2</v>
      </c>
    </row>
    <row r="13" spans="1:16" ht="11.25" customHeight="1" x14ac:dyDescent="0.25">
      <c r="A13" s="21" t="s">
        <v>12</v>
      </c>
      <c r="B13" s="21"/>
      <c r="C13" s="21"/>
      <c r="E13" s="17"/>
      <c r="F13" s="18"/>
      <c r="G13" s="17"/>
      <c r="H13" s="18"/>
      <c r="I13" s="17"/>
      <c r="J13" s="18"/>
      <c r="K13" s="17"/>
      <c r="L13" s="18"/>
      <c r="M13" s="17"/>
      <c r="N13" s="18"/>
    </row>
    <row r="14" spans="1:16" ht="11.25" customHeight="1" x14ac:dyDescent="0.25">
      <c r="A14" s="11" t="s">
        <v>13</v>
      </c>
      <c r="B14" s="5"/>
      <c r="C14" s="5" t="s">
        <v>11</v>
      </c>
      <c r="D14" s="12"/>
      <c r="E14" s="13">
        <v>850</v>
      </c>
      <c r="F14" s="14"/>
      <c r="G14" s="13">
        <v>1023</v>
      </c>
      <c r="H14" s="14" t="s">
        <v>4</v>
      </c>
      <c r="I14" s="13">
        <v>1000</v>
      </c>
      <c r="J14" s="14" t="s">
        <v>4</v>
      </c>
      <c r="K14" s="13">
        <v>970</v>
      </c>
      <c r="L14" s="14"/>
      <c r="M14" s="13">
        <v>998</v>
      </c>
      <c r="N14" s="14"/>
      <c r="O14" s="3">
        <f t="shared" si="0"/>
        <v>-3</v>
      </c>
      <c r="P14" s="4">
        <f t="shared" si="1"/>
        <v>3</v>
      </c>
    </row>
    <row r="15" spans="1:16" ht="11.25" customHeight="1" x14ac:dyDescent="0.25">
      <c r="A15" s="11" t="s">
        <v>19</v>
      </c>
      <c r="B15" s="5"/>
      <c r="C15" s="5"/>
      <c r="D15" s="15"/>
      <c r="E15" s="16">
        <v>200000</v>
      </c>
      <c r="F15" s="7"/>
      <c r="G15" s="16">
        <v>200000</v>
      </c>
      <c r="H15" s="7" t="s">
        <v>14</v>
      </c>
      <c r="I15" s="16">
        <v>250000</v>
      </c>
      <c r="J15" s="7" t="s">
        <v>14</v>
      </c>
      <c r="K15" s="16">
        <v>200000</v>
      </c>
      <c r="L15" s="7" t="s">
        <v>14</v>
      </c>
      <c r="M15" s="16">
        <v>200000</v>
      </c>
      <c r="N15" s="7" t="s">
        <v>14</v>
      </c>
      <c r="O15" s="3">
        <f t="shared" si="0"/>
        <v>-20</v>
      </c>
      <c r="P15" s="4">
        <f t="shared" si="1"/>
        <v>0</v>
      </c>
    </row>
    <row r="16" spans="1:16" ht="11.25" customHeight="1" x14ac:dyDescent="0.25">
      <c r="A16" s="11" t="s">
        <v>22</v>
      </c>
      <c r="B16" s="5"/>
      <c r="C16" s="5"/>
      <c r="D16" s="15"/>
      <c r="E16" s="16">
        <v>1000</v>
      </c>
      <c r="F16" s="7"/>
      <c r="G16" s="16">
        <v>1000</v>
      </c>
      <c r="H16" s="7"/>
      <c r="I16" s="16">
        <v>1000</v>
      </c>
      <c r="J16" s="7"/>
      <c r="K16" s="16">
        <v>1000</v>
      </c>
      <c r="L16" s="7"/>
      <c r="M16" s="16">
        <v>1000</v>
      </c>
      <c r="N16" s="7"/>
      <c r="O16" s="3">
        <f t="shared" si="0"/>
        <v>0</v>
      </c>
      <c r="P16" s="4">
        <f t="shared" si="1"/>
        <v>0</v>
      </c>
    </row>
    <row r="17" spans="1:14" ht="11.25" customHeight="1" x14ac:dyDescent="0.25">
      <c r="A17" s="21" t="s">
        <v>15</v>
      </c>
      <c r="B17" s="21"/>
      <c r="C17" s="21"/>
      <c r="E17" s="17"/>
      <c r="F17" s="18"/>
      <c r="G17" s="17"/>
      <c r="H17" s="18"/>
      <c r="I17" s="17"/>
      <c r="J17" s="18"/>
      <c r="K17" s="17"/>
      <c r="L17" s="18"/>
      <c r="M17" s="17"/>
      <c r="N17" s="18"/>
    </row>
    <row r="18" spans="1:14" ht="11.25" customHeight="1" x14ac:dyDescent="0.25">
      <c r="A18" s="11" t="s">
        <v>16</v>
      </c>
      <c r="B18" s="5"/>
      <c r="C18" s="5" t="s">
        <v>17</v>
      </c>
      <c r="E18" s="17">
        <v>1191</v>
      </c>
      <c r="F18" s="18"/>
      <c r="G18" s="17">
        <v>1460</v>
      </c>
      <c r="H18" s="18"/>
      <c r="I18" s="20" t="s">
        <v>18</v>
      </c>
      <c r="J18" s="18"/>
      <c r="K18" s="20" t="s">
        <v>18</v>
      </c>
      <c r="L18" s="18"/>
      <c r="M18" s="20" t="s">
        <v>18</v>
      </c>
      <c r="N18" s="18"/>
    </row>
    <row r="19" spans="1:14" ht="11.25" customHeight="1" x14ac:dyDescent="0.25">
      <c r="A19" s="24" t="s">
        <v>23</v>
      </c>
      <c r="B19" s="24"/>
      <c r="C19" s="24"/>
      <c r="D19" s="24"/>
      <c r="E19" s="24"/>
      <c r="F19" s="24"/>
      <c r="G19" s="24"/>
      <c r="H19" s="24"/>
      <c r="I19" s="24"/>
      <c r="J19" s="24"/>
      <c r="K19" s="24"/>
      <c r="L19" s="24"/>
      <c r="M19" s="24"/>
      <c r="N19" s="24"/>
    </row>
    <row r="20" spans="1:14" ht="22.9" customHeight="1" x14ac:dyDescent="0.25">
      <c r="A20" s="25" t="s">
        <v>24</v>
      </c>
      <c r="B20" s="25"/>
      <c r="C20" s="25"/>
      <c r="D20" s="25"/>
      <c r="E20" s="25"/>
      <c r="F20" s="25"/>
      <c r="G20" s="25"/>
      <c r="H20" s="25"/>
      <c r="I20" s="25"/>
      <c r="J20" s="25"/>
      <c r="K20" s="25"/>
      <c r="L20" s="25"/>
      <c r="M20" s="25"/>
      <c r="N20" s="25"/>
    </row>
    <row r="21" spans="1:14" ht="22.9" customHeight="1" x14ac:dyDescent="0.25">
      <c r="A21" s="25" t="s">
        <v>25</v>
      </c>
      <c r="B21" s="25"/>
      <c r="C21" s="25"/>
      <c r="D21" s="25"/>
      <c r="E21" s="25"/>
      <c r="F21" s="25"/>
      <c r="G21" s="25"/>
      <c r="H21" s="25"/>
      <c r="I21" s="25"/>
      <c r="J21" s="25"/>
      <c r="K21" s="25"/>
      <c r="L21" s="25"/>
      <c r="M21" s="25"/>
      <c r="N21" s="25"/>
    </row>
  </sheetData>
  <mergeCells count="12">
    <mergeCell ref="A17:C17"/>
    <mergeCell ref="A13:C13"/>
    <mergeCell ref="A19:N19"/>
    <mergeCell ref="A20:N20"/>
    <mergeCell ref="A21:N21"/>
    <mergeCell ref="A6:C6"/>
    <mergeCell ref="A7:C7"/>
    <mergeCell ref="A1:N1"/>
    <mergeCell ref="A2:N2"/>
    <mergeCell ref="A3:N3"/>
    <mergeCell ref="A4:N4"/>
    <mergeCell ref="A5:N5"/>
  </mergeCells>
  <pageMargins left="0.5" right="0.5" top="0.5" bottom="0.75" header="0.5" footer="0.5"/>
  <pageSetup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dec0acb936ca23c3c8fc8bf4ca5695b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ed543cdcc45b968be7a535b2c93422eb"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4afef00-3e19-424e-a66a-c96a9a38e464">
      <Terms xmlns="http://schemas.microsoft.com/office/infopath/2007/PartnerControls"/>
    </lcf76f155ced4ddcb4097134ff3c332f>
    <TaxCatchAll xmlns="fe77990d-a1e9-46bd-9909-a26041423160" xsi:nil="true"/>
  </documentManagement>
</p:properties>
</file>

<file path=customXml/itemProps1.xml><?xml version="1.0" encoding="utf-8"?>
<ds:datastoreItem xmlns:ds="http://schemas.openxmlformats.org/officeDocument/2006/customXml" ds:itemID="{2012041A-93BF-4AA6-BD35-AB3ECEE3B7C0}"/>
</file>

<file path=customXml/itemProps2.xml><?xml version="1.0" encoding="utf-8"?>
<ds:datastoreItem xmlns:ds="http://schemas.openxmlformats.org/officeDocument/2006/customXml" ds:itemID="{113DB742-B02F-4A0B-A71D-FA321F5929D9}">
  <ds:schemaRefs>
    <ds:schemaRef ds:uri="http://schemas.microsoft.com/sharepoint/v3/contenttype/forms"/>
  </ds:schemaRefs>
</ds:datastoreItem>
</file>

<file path=customXml/itemProps3.xml><?xml version="1.0" encoding="utf-8"?>
<ds:datastoreItem xmlns:ds="http://schemas.openxmlformats.org/officeDocument/2006/customXml" ds:itemID="{ABC0852D-806C-4E29-9402-6596607B04E1}">
  <ds:schemaRefs>
    <ds:schemaRef ds:uri="08020ff4-f632-4952-8504-a4a18e274e6c"/>
    <ds:schemaRef ds:uri="http://purl.org/dc/elements/1.1/"/>
    <ds:schemaRef ds:uri="http://schemas.microsoft.com/office/2006/metadata/properties"/>
    <ds:schemaRef ds:uri="31062a0d-ede8-4112-b4bb-00a9c1bc8e16"/>
    <ds:schemaRef ds:uri="http://schemas.microsoft.com/sharepoint/v3"/>
    <ds:schemaRef ds:uri="http://purl.org/dc/terms/"/>
    <ds:schemaRef ds:uri="http://schemas.microsoft.com/office/2006/documentManagement/types"/>
    <ds:schemaRef ds:uri="http://schemas.microsoft.com/office/infopath/2007/PartnerControls"/>
    <ds:schemaRef ds:uri="d925d976-9e2a-4bab-ad6d-d3ef45ec2550"/>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Note</vt:lpstr>
      <vt:lpstr>Table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Taib, Mowafa</dc:creator>
  <cp:keywords/>
  <dc:description/>
  <cp:lastModifiedBy>Hakim, Samir</cp:lastModifiedBy>
  <cp:revision/>
  <dcterms:created xsi:type="dcterms:W3CDTF">2020-07-28T16:37:33Z</dcterms:created>
  <dcterms:modified xsi:type="dcterms:W3CDTF">2024-08-07T14:37:23Z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y fmtid="{D5CDD505-2E9C-101B-9397-08002B2CF9AE}" pid="3" name="{A44787D4-0540-4523-9961-78E4036D8C6D}">
    <vt:lpwstr>{B34C6BA9-A020-4F19-BDE4-AA9CAB038706}</vt:lpwstr>
  </property>
  <property fmtid="{D5CDD505-2E9C-101B-9397-08002B2CF9AE}" pid="4" name="MediaServiceImageTags">
    <vt:lpwstr/>
  </property>
</Properties>
</file>