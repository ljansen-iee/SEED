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C:\WebPosts\todo20240807\"/>
    </mc:Choice>
  </mc:AlternateContent>
  <xr:revisionPtr revIDLastSave="0" documentId="13_ncr:1_{729DB462-45D5-4277-BF80-EC43439D0102}" xr6:coauthVersionLast="47" xr6:coauthVersionMax="47" xr10:uidLastSave="{00000000-0000-0000-0000-000000000000}"/>
  <bookViews>
    <workbookView xWindow="3150" yWindow="930" windowWidth="14850" windowHeight="13890" xr2:uid="{00000000-000D-0000-FFFF-FFFF00000000}"/>
  </bookViews>
  <sheets>
    <sheet name="Note" sheetId="2" r:id="rId1"/>
    <sheet name="Table 1"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5" i="1" l="1"/>
  <c r="P9" i="1"/>
  <c r="P11" i="1"/>
  <c r="P12" i="1"/>
  <c r="P14" i="1"/>
  <c r="P15" i="1"/>
  <c r="P16" i="1"/>
  <c r="P8" i="1"/>
  <c r="O9" i="1"/>
  <c r="O11" i="1"/>
  <c r="O12" i="1"/>
  <c r="O14" i="1"/>
  <c r="O16" i="1"/>
  <c r="O8" i="1"/>
</calcChain>
</file>

<file path=xl/sharedStrings.xml><?xml version="1.0" encoding="utf-8"?>
<sst xmlns="http://schemas.openxmlformats.org/spreadsheetml/2006/main" count="45" uniqueCount="36">
  <si>
    <t>TABLE 1</t>
  </si>
  <si>
    <t>(Metric tons, gross weight, unless otherwise specified)</t>
  </si>
  <si>
    <t>METALS</t>
  </si>
  <si>
    <t>Copper, mine, concentrates, Cu content</t>
  </si>
  <si>
    <t>r</t>
  </si>
  <si>
    <t>Gold, mine, Au content</t>
  </si>
  <si>
    <t>kilograms</t>
  </si>
  <si>
    <t>Iron ore, mine:</t>
  </si>
  <si>
    <t>Gross weight</t>
  </si>
  <si>
    <t>thousand metric tons</t>
  </si>
  <si>
    <t>Fe content</t>
  </si>
  <si>
    <t>do.</t>
  </si>
  <si>
    <t>INDUSTRIAL MINERALS</t>
  </si>
  <si>
    <t>Cement, hydraulic</t>
  </si>
  <si>
    <t>e</t>
  </si>
  <si>
    <t>MINERAL FUELS AND RELATED MATERIALS</t>
  </si>
  <si>
    <t>Petroleum, crude</t>
  </si>
  <si>
    <t>thousand 42-gallon barrels</t>
  </si>
  <si>
    <t>--</t>
  </si>
  <si>
    <t>Gypsum, mine</t>
  </si>
  <si>
    <r>
      <t>MAURITANIA: PRODUCTION OF MINERAL COMMODITIES</t>
    </r>
    <r>
      <rPr>
        <vertAlign val="superscript"/>
        <sz val="8"/>
        <rFont val="Times New Roman"/>
        <family val="1"/>
      </rPr>
      <t>1</t>
    </r>
  </si>
  <si>
    <r>
      <t>Commodity</t>
    </r>
    <r>
      <rPr>
        <vertAlign val="superscript"/>
        <sz val="8"/>
        <rFont val="Times New Roman"/>
        <family val="1"/>
      </rPr>
      <t>2</t>
    </r>
  </si>
  <si>
    <r>
      <t>Salt</t>
    </r>
    <r>
      <rPr>
        <vertAlign val="superscript"/>
        <sz val="8"/>
        <rFont val="Times New Roman"/>
        <family val="1"/>
      </rPr>
      <t>e</t>
    </r>
  </si>
  <si>
    <r>
      <t>e</t>
    </r>
    <r>
      <rPr>
        <sz val="8"/>
        <rFont val="Times New Roman"/>
        <family val="1"/>
      </rPr>
      <t xml:space="preserve">Estimated.  </t>
    </r>
    <r>
      <rPr>
        <vertAlign val="superscript"/>
        <sz val="8"/>
        <rFont val="Times New Roman"/>
        <family val="1"/>
      </rPr>
      <t>r</t>
    </r>
    <r>
      <rPr>
        <sz val="8"/>
        <rFont val="Times New Roman"/>
        <family val="1"/>
      </rPr>
      <t>Revised.  do. Ditto.  -- Zero.</t>
    </r>
  </si>
  <si>
    <r>
      <t>1</t>
    </r>
    <r>
      <rPr>
        <sz val="8"/>
        <rFont val="Times New Roman"/>
        <family val="1"/>
      </rPr>
      <t>Table includes data available through August 22, 2022. All data are reported unless otherwise noted. Estimated data are rounded to no more than three significant digits.</t>
    </r>
  </si>
  <si>
    <r>
      <t>2</t>
    </r>
    <r>
      <rPr>
        <sz val="8"/>
        <rFont val="Times New Roman"/>
        <family val="1"/>
      </rPr>
      <t>In addition to the commodities listed, crude construction materials (clays, sand and gravel, and stone), granite, marble, phosphate rock, quartz, and raw steel may have been produced, but available information was inadequate to make reliable estimates of output.</t>
    </r>
  </si>
  <si>
    <t>Advance Data Release of the</t>
  </si>
  <si>
    <t>2020-21 Annual Tables</t>
  </si>
  <si>
    <t>These tables are an advance data release of those to be</t>
  </si>
  <si>
    <t>incorporated in the USGS Minerals Yearbook 2020-21,</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</si>
  <si>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</si>
  <si>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</si>
  <si>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</si>
  <si>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</si>
  <si>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</si>
  <si>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August 7,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</si>
</sst>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11" x14ac:knownFonts="1">
    <font>
      <sz val="12"/>
      <color theme="1"/>
      <name val="Calibri"/>
      <family val="2"/>
      <scheme val="minor"/>
    </font>
    <font>
      <sz val="11"/>
      <color theme="1"/>
      <name val="Calibri"/>
      <family val="2"/>
      <scheme val="minor"/>
    </font>
    <font>
      <sz val="12"/>
      <color theme="1"/>
      <name val="Calibri"/>
      <family val="2"/>
      <scheme val="minor"/>
    </font>
    <font>
      <sz val="8"/>
      <name val="Times New Roman"/>
      <family val="1"/>
    </font>
    <font>
      <vertAlign val="superscript"/>
      <sz val="8"/>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3">
    <fill>
      <patternFill patternType="none"/>
    </fill>
    <fill>
      <patternFill patternType="gray125"/>
    </fill>
    <fill>
      <patternFill patternType="solid">
        <fgColor rgb="FFFFFFCC"/>
        <bgColor indexed="64"/>
      </patternFill>
    </fill>
  </fills>
  <borders count="12">
    <border>
      <left/>
      <right/>
      <top/>
      <bottom/>
      <diagonal/>
    </border>
    <border>
      <left/>
      <right/>
      <top style="hair">
        <color indexed="64"/>
      </top>
      <bottom/>
      <diagonal/>
    </border>
    <border>
      <left/>
      <right/>
      <top style="hair">
        <color indexed="64"/>
      </top>
      <bottom style="hair">
        <color indexed="64"/>
      </bottom>
      <diagonal/>
    </border>
    <border>
      <left/>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43" fontId="2" fillId="0" borderId="0" applyFont="0" applyFill="0" applyBorder="0" applyAlignment="0" applyProtection="0"/>
    <xf numFmtId="0" fontId="3" fillId="0" borderId="0"/>
    <xf numFmtId="0" fontId="1" fillId="0" borderId="0"/>
  </cellStyleXfs>
  <cellXfs count="46">
    <xf numFmtId="0" fontId="0" fillId="0" borderId="0" xfId="0" applyNumberFormat="1"/>
    <xf numFmtId="0" fontId="3" fillId="0" borderId="0" xfId="0" applyFont="1" applyFill="1" applyAlignment="1">
      <alignment vertical="center"/>
    </xf>
    <xf numFmtId="0" fontId="3" fillId="0" borderId="0" xfId="0" applyFont="1" applyFill="1" applyAlignment="1">
      <alignment horizontal="left" vertical="center"/>
    </xf>
    <xf numFmtId="165" fontId="3" fillId="0" borderId="0" xfId="0" applyNumberFormat="1" applyFont="1" applyFill="1" applyAlignment="1">
      <alignment vertical="center"/>
    </xf>
    <xf numFmtId="1" fontId="3" fillId="0" borderId="0" xfId="0" applyNumberFormat="1" applyFont="1" applyFill="1" applyAlignment="1">
      <alignment vertical="center"/>
    </xf>
    <xf numFmtId="49" fontId="3" fillId="0" borderId="2" xfId="0" applyNumberFormat="1" applyFont="1" applyFill="1" applyBorder="1" applyAlignment="1">
      <alignment horizontal="right" vertical="center"/>
    </xf>
    <xf numFmtId="49" fontId="3" fillId="0" borderId="2" xfId="1" applyNumberFormat="1" applyFont="1" applyFill="1" applyBorder="1" applyAlignment="1">
      <alignment horizontal="right" vertical="center"/>
    </xf>
    <xf numFmtId="49" fontId="4" fillId="0" borderId="2" xfId="0" applyNumberFormat="1" applyFont="1" applyFill="1" applyBorder="1" applyAlignment="1">
      <alignment horizontal="left" vertical="center"/>
    </xf>
    <xf numFmtId="0" fontId="3" fillId="0" borderId="0" xfId="0" applyFont="1" applyFill="1" applyAlignment="1">
      <alignment horizontal="right" vertical="center"/>
    </xf>
    <xf numFmtId="164" fontId="3" fillId="0" borderId="0" xfId="1" applyNumberFormat="1" applyFont="1" applyFill="1" applyAlignment="1">
      <alignment horizontal="right"/>
    </xf>
    <xf numFmtId="0" fontId="4" fillId="0" borderId="0" xfId="0" applyFont="1" applyFill="1" applyAlignment="1">
      <alignment horizontal="left" vertical="center"/>
    </xf>
    <xf numFmtId="49" fontId="3" fillId="0" borderId="2" xfId="0" applyNumberFormat="1" applyFont="1" applyFill="1" applyBorder="1" applyAlignment="1">
      <alignment horizontal="left" vertical="center"/>
    </xf>
    <xf numFmtId="0" fontId="3" fillId="0" borderId="3" xfId="0" applyFont="1" applyFill="1" applyBorder="1" applyAlignment="1">
      <alignment horizontal="right" vertical="center"/>
    </xf>
    <xf numFmtId="3" fontId="3" fillId="0" borderId="3" xfId="1" applyNumberFormat="1" applyFont="1" applyFill="1" applyBorder="1" applyAlignment="1">
      <alignment horizontal="right" vertical="center"/>
    </xf>
    <xf numFmtId="49" fontId="4" fillId="0" borderId="3" xfId="0" applyNumberFormat="1" applyFont="1" applyFill="1" applyBorder="1" applyAlignment="1">
      <alignment horizontal="left" vertical="center"/>
    </xf>
    <xf numFmtId="0" fontId="3" fillId="0" borderId="2" xfId="0" applyFont="1" applyFill="1" applyBorder="1" applyAlignment="1">
      <alignment horizontal="right" vertical="center"/>
    </xf>
    <xf numFmtId="3" fontId="3" fillId="0" borderId="2" xfId="1" applyNumberFormat="1" applyFont="1" applyFill="1" applyBorder="1" applyAlignment="1">
      <alignment horizontal="right" vertical="center"/>
    </xf>
    <xf numFmtId="3" fontId="3" fillId="0" borderId="0" xfId="1" applyNumberFormat="1" applyFont="1" applyFill="1" applyAlignment="1">
      <alignment horizontal="right" vertical="center"/>
    </xf>
    <xf numFmtId="49" fontId="4" fillId="0" borderId="0" xfId="0" applyNumberFormat="1" applyFont="1" applyFill="1" applyAlignment="1">
      <alignment horizontal="left" vertical="center"/>
    </xf>
    <xf numFmtId="49" fontId="3" fillId="0" borderId="2" xfId="0" applyNumberFormat="1" applyFont="1" applyFill="1" applyBorder="1" applyAlignment="1">
      <alignment horizontal="left" vertical="center" indent="1"/>
    </xf>
    <xf numFmtId="49" fontId="3" fillId="0" borderId="0" xfId="1" applyNumberFormat="1" applyFont="1" applyFill="1" applyAlignment="1">
      <alignment horizontal="right" vertical="center"/>
    </xf>
    <xf numFmtId="49" fontId="3" fillId="0" borderId="2" xfId="0" applyNumberFormat="1" applyFont="1" applyFill="1" applyBorder="1" applyAlignment="1">
      <alignment horizontal="center" vertical="center"/>
    </xf>
    <xf numFmtId="49" fontId="3" fillId="0" borderId="0" xfId="0" applyNumberFormat="1" applyFont="1" applyFill="1" applyAlignment="1">
      <alignment horizontal="center" vertical="center"/>
    </xf>
    <xf numFmtId="49" fontId="3" fillId="0" borderId="3" xfId="0" applyNumberFormat="1" applyFont="1" applyFill="1" applyBorder="1" applyAlignment="1">
      <alignment horizontal="center" vertical="center"/>
    </xf>
    <xf numFmtId="49" fontId="4" fillId="0" borderId="1" xfId="0" applyNumberFormat="1" applyFont="1" applyFill="1" applyBorder="1" applyAlignment="1">
      <alignment horizontal="left" vertical="center"/>
    </xf>
    <xf numFmtId="49" fontId="4" fillId="0" borderId="0" xfId="0" applyNumberFormat="1" applyFont="1" applyFill="1" applyAlignment="1">
      <alignment horizontal="left" vertical="center" wrapText="1"/>
    </xf>
    <xf numFmtId="0" fontId="5" fillId="2" borderId="4" xfId="2" applyFont="1" applyFill="1" applyBorder="1" applyAlignment="1">
      <alignment horizontal="center"/>
    </xf>
    <xf numFmtId="0" fontId="5" fillId="2" borderId="5" xfId="2" applyFont="1" applyFill="1" applyBorder="1" applyAlignment="1">
      <alignment horizontal="center"/>
    </xf>
    <xf numFmtId="0" fontId="5" fillId="2" borderId="6" xfId="2" applyFont="1" applyFill="1" applyBorder="1" applyAlignment="1">
      <alignment horizontal="center"/>
    </xf>
    <xf numFmtId="0" fontId="1" fillId="0" borderId="0" xfId="3"/>
    <xf numFmtId="0" fontId="6" fillId="2" borderId="7" xfId="2" applyFont="1" applyFill="1" applyBorder="1" applyAlignment="1">
      <alignment horizontal="center"/>
    </xf>
    <xf numFmtId="0" fontId="6" fillId="2" borderId="0" xfId="2" applyFont="1" applyFill="1" applyAlignment="1">
      <alignment horizontal="center"/>
    </xf>
    <xf numFmtId="0" fontId="6" fillId="2" borderId="8" xfId="2" applyFont="1" applyFill="1" applyBorder="1" applyAlignment="1">
      <alignment horizontal="center"/>
    </xf>
    <xf numFmtId="0" fontId="7" fillId="2" borderId="7" xfId="3" applyFont="1" applyFill="1" applyBorder="1" applyAlignment="1">
      <alignment horizontal="center"/>
    </xf>
    <xf numFmtId="0" fontId="7" fillId="2" borderId="0" xfId="3" applyFont="1" applyFill="1" applyAlignment="1">
      <alignment horizontal="center"/>
    </xf>
    <xf numFmtId="0" fontId="7" fillId="2" borderId="8" xfId="3" applyFont="1" applyFill="1" applyBorder="1" applyAlignment="1">
      <alignment horizontal="center"/>
    </xf>
    <xf numFmtId="0" fontId="8" fillId="0" borderId="0" xfId="3" applyFont="1" applyAlignment="1">
      <alignment horizontal="left"/>
    </xf>
    <xf numFmtId="0" fontId="9" fillId="2" borderId="7" xfId="3" applyFont="1" applyFill="1" applyBorder="1" applyAlignment="1">
      <alignment horizontal="center" vertical="center" wrapText="1" readingOrder="1"/>
    </xf>
    <xf numFmtId="0" fontId="9" fillId="2" borderId="0" xfId="3" applyFont="1" applyFill="1" applyAlignment="1">
      <alignment horizontal="center" vertical="center" wrapText="1" readingOrder="1"/>
    </xf>
    <xf numFmtId="0" fontId="9" fillId="2" borderId="8" xfId="3" applyFont="1" applyFill="1" applyBorder="1" applyAlignment="1">
      <alignment horizontal="center" vertical="center" wrapText="1" readingOrder="1"/>
    </xf>
    <xf numFmtId="0" fontId="10" fillId="2" borderId="7" xfId="3" applyFont="1" applyFill="1" applyBorder="1" applyAlignment="1">
      <alignment horizontal="center" vertical="center" readingOrder="1"/>
    </xf>
    <xf numFmtId="0" fontId="10" fillId="2" borderId="0" xfId="3" applyFont="1" applyFill="1" applyAlignment="1">
      <alignment horizontal="center" vertical="center" readingOrder="1"/>
    </xf>
    <xf numFmtId="0" fontId="10" fillId="2" borderId="8" xfId="3" applyFont="1" applyFill="1" applyBorder="1" applyAlignment="1">
      <alignment horizontal="center" vertical="center" readingOrder="1"/>
    </xf>
    <xf numFmtId="0" fontId="9" fillId="2" borderId="9" xfId="3" applyFont="1" applyFill="1" applyBorder="1" applyAlignment="1">
      <alignment horizontal="centerContinuous" vertical="center" readingOrder="1"/>
    </xf>
    <xf numFmtId="0" fontId="1" fillId="2" borderId="10" xfId="3" applyFill="1" applyBorder="1" applyAlignment="1">
      <alignment horizontal="centerContinuous"/>
    </xf>
    <xf numFmtId="0" fontId="1" fillId="2" borderId="11" xfId="3" applyFill="1" applyBorder="1" applyAlignment="1">
      <alignment horizontal="centerContinuous"/>
    </xf>
  </cellXfs>
  <cellStyles count="4">
    <cellStyle name="Comma" xfId="1" builtinId="3"/>
    <cellStyle name="Normal" xfId="0" builtinId="0"/>
    <cellStyle name="Normal 2" xfId="2" xr:uid="{30563577-B601-486B-B090-3EDCE98C2B4E}"/>
    <cellStyle name="Normal 4" xfId="3" xr:uid="{C957AB81-A757-4CEC-B955-BCC0D8045579}"/>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CE4D276F-BC3A-4C58-83D1-4DE4EBA76974}"/>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115B3-B4CB-40F5-B28B-E362DFA9BA8F}">
  <sheetPr>
    <tabColor theme="0"/>
  </sheetPr>
  <dimension ref="A5:L16"/>
  <sheetViews>
    <sheetView showGridLines="0" tabSelected="1" workbookViewId="0">
      <selection activeCell="A15" sqref="A15:L15"/>
    </sheetView>
  </sheetViews>
  <sheetFormatPr defaultColWidth="7.375" defaultRowHeight="15" x14ac:dyDescent="0.25"/>
  <cols>
    <col min="1" max="16384" width="7.375" style="29"/>
  </cols>
  <sheetData>
    <row r="5" spans="1:12" ht="42.75" customHeight="1" x14ac:dyDescent="0.4">
      <c r="A5" s="26" t="s">
        <v>26</v>
      </c>
      <c r="B5" s="27"/>
      <c r="C5" s="27"/>
      <c r="D5" s="27"/>
      <c r="E5" s="27"/>
      <c r="F5" s="27"/>
      <c r="G5" s="27"/>
      <c r="H5" s="27"/>
      <c r="I5" s="27"/>
      <c r="J5" s="27"/>
      <c r="K5" s="27"/>
      <c r="L5" s="28"/>
    </row>
    <row r="6" spans="1:12" ht="48" customHeight="1" x14ac:dyDescent="0.6">
      <c r="A6" s="30" t="s">
        <v>27</v>
      </c>
      <c r="B6" s="31"/>
      <c r="C6" s="31"/>
      <c r="D6" s="31"/>
      <c r="E6" s="31"/>
      <c r="F6" s="31"/>
      <c r="G6" s="31"/>
      <c r="H6" s="31"/>
      <c r="I6" s="31"/>
      <c r="J6" s="31"/>
      <c r="K6" s="31"/>
      <c r="L6" s="32"/>
    </row>
    <row r="7" spans="1:12" s="36" customFormat="1" ht="23.25" x14ac:dyDescent="0.35">
      <c r="A7" s="33" t="s">
        <v>28</v>
      </c>
      <c r="B7" s="34"/>
      <c r="C7" s="34"/>
      <c r="D7" s="34"/>
      <c r="E7" s="34"/>
      <c r="F7" s="34"/>
      <c r="G7" s="34"/>
      <c r="H7" s="34"/>
      <c r="I7" s="34"/>
      <c r="J7" s="34"/>
      <c r="K7" s="34"/>
      <c r="L7" s="35"/>
    </row>
    <row r="8" spans="1:12" s="36" customFormat="1" ht="23.25" x14ac:dyDescent="0.35">
      <c r="A8" s="33" t="s">
        <v>29</v>
      </c>
      <c r="B8" s="34"/>
      <c r="C8" s="34"/>
      <c r="D8" s="34"/>
      <c r="E8" s="34"/>
      <c r="F8" s="34"/>
      <c r="G8" s="34"/>
      <c r="H8" s="34"/>
      <c r="I8" s="34"/>
      <c r="J8" s="34"/>
      <c r="K8" s="34"/>
      <c r="L8" s="35"/>
    </row>
    <row r="9" spans="1:12" s="36" customFormat="1" ht="23.25" x14ac:dyDescent="0.35">
      <c r="A9" s="33" t="s">
        <v>30</v>
      </c>
      <c r="B9" s="34"/>
      <c r="C9" s="34"/>
      <c r="D9" s="34"/>
      <c r="E9" s="34"/>
      <c r="F9" s="34"/>
      <c r="G9" s="34"/>
      <c r="H9" s="34"/>
      <c r="I9" s="34"/>
      <c r="J9" s="34"/>
      <c r="K9" s="34"/>
      <c r="L9" s="35"/>
    </row>
    <row r="10" spans="1:12" s="36" customFormat="1" ht="23.25" x14ac:dyDescent="0.35">
      <c r="A10" s="33" t="s">
        <v>31</v>
      </c>
      <c r="B10" s="34"/>
      <c r="C10" s="34"/>
      <c r="D10" s="34"/>
      <c r="E10" s="34"/>
      <c r="F10" s="34"/>
      <c r="G10" s="34"/>
      <c r="H10" s="34"/>
      <c r="I10" s="34"/>
      <c r="J10" s="34"/>
      <c r="K10" s="34"/>
      <c r="L10" s="35"/>
    </row>
    <row r="11" spans="1:12" s="36" customFormat="1" ht="23.25" x14ac:dyDescent="0.35">
      <c r="A11" s="33" t="s">
        <v>32</v>
      </c>
      <c r="B11" s="34"/>
      <c r="C11" s="34"/>
      <c r="D11" s="34"/>
      <c r="E11" s="34"/>
      <c r="F11" s="34"/>
      <c r="G11" s="34"/>
      <c r="H11" s="34"/>
      <c r="I11" s="34"/>
      <c r="J11" s="34"/>
      <c r="K11" s="34"/>
      <c r="L11" s="35"/>
    </row>
    <row r="12" spans="1:12" s="36" customFormat="1" ht="23.25" x14ac:dyDescent="0.35">
      <c r="A12" s="33" t="s">
        <v>33</v>
      </c>
      <c r="B12" s="34"/>
      <c r="C12" s="34"/>
      <c r="D12" s="34"/>
      <c r="E12" s="34"/>
      <c r="F12" s="34"/>
      <c r="G12" s="34"/>
      <c r="H12" s="34"/>
      <c r="I12" s="34"/>
      <c r="J12" s="34"/>
      <c r="K12" s="34"/>
      <c r="L12" s="35"/>
    </row>
    <row r="13" spans="1:12" s="36" customFormat="1" ht="23.25" x14ac:dyDescent="0.35">
      <c r="A13" s="33" t="s">
        <v>34</v>
      </c>
      <c r="B13" s="34"/>
      <c r="C13" s="34"/>
      <c r="D13" s="34"/>
      <c r="E13" s="34"/>
      <c r="F13" s="34"/>
      <c r="G13" s="34"/>
      <c r="H13" s="34"/>
      <c r="I13" s="34"/>
      <c r="J13" s="34"/>
      <c r="K13" s="34"/>
      <c r="L13" s="35"/>
    </row>
    <row r="14" spans="1:12" ht="23.45" customHeight="1" x14ac:dyDescent="0.25">
      <c r="A14" s="37"/>
      <c r="B14" s="38"/>
      <c r="C14" s="38"/>
      <c r="D14" s="38"/>
      <c r="E14" s="38"/>
      <c r="F14" s="38"/>
      <c r="G14" s="38"/>
      <c r="H14" s="38"/>
      <c r="I14" s="38"/>
      <c r="J14" s="38"/>
      <c r="K14" s="38"/>
      <c r="L14" s="39"/>
    </row>
    <row r="15" spans="1:12" ht="21" customHeight="1" x14ac:dyDescent="0.25">
      <c r="A15" s="40" t="s">
        <v>35</v>
      </c>
      <c r="B15" s="41"/>
      <c r="C15" s="41"/>
      <c r="D15" s="41"/>
      <c r="E15" s="41"/>
      <c r="F15" s="41"/>
      <c r="G15" s="41"/>
      <c r="H15" s="41"/>
      <c r="I15" s="41"/>
      <c r="J15" s="41"/>
      <c r="K15" s="41"/>
      <c r="L15" s="42"/>
    </row>
    <row r="16" spans="1:12" ht="23.25" x14ac:dyDescent="0.25">
      <c r="A16" s="43"/>
      <c r="B16" s="44"/>
      <c r="C16" s="44"/>
      <c r="D16" s="44"/>
      <c r="E16" s="44"/>
      <c r="F16" s="44"/>
      <c r="G16" s="44"/>
      <c r="H16" s="44"/>
      <c r="I16" s="44"/>
      <c r="J16" s="44"/>
      <c r="K16" s="44"/>
      <c r="L16" s="45"/>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
  <sheetViews>
    <sheetView zoomScaleNormal="100" workbookViewId="0">
      <selection sqref="A1:N1"/>
    </sheetView>
  </sheetViews>
  <sheetFormatPr defaultColWidth="8.625" defaultRowHeight="11.25" x14ac:dyDescent="0.2"/>
  <cols>
    <col min="1" max="1" width="20.625" style="2" customWidth="1"/>
    <col min="2" max="2" width="14.625" style="8" customWidth="1"/>
    <col min="3" max="4" width="1.625" style="8" customWidth="1"/>
    <col min="5" max="5" width="7.625" style="9" customWidth="1"/>
    <col min="6" max="6" width="1.625" style="10" customWidth="1"/>
    <col min="7" max="7" width="7.625" style="9" customWidth="1"/>
    <col min="8" max="8" width="1.625" style="10" customWidth="1"/>
    <col min="9" max="9" width="7.625" style="9" customWidth="1"/>
    <col min="10" max="10" width="1.625" style="10" customWidth="1"/>
    <col min="11" max="11" width="7.625" style="9" customWidth="1"/>
    <col min="12" max="12" width="1.625" style="10" customWidth="1"/>
    <col min="13" max="13" width="7.625" style="9" customWidth="1"/>
    <col min="14" max="14" width="1.625" style="10" customWidth="1"/>
    <col min="15" max="15" width="0" style="3" hidden="1" customWidth="1"/>
    <col min="16" max="16" width="0" style="4" hidden="1" customWidth="1"/>
    <col min="17" max="17" width="3.125" style="1" customWidth="1"/>
    <col min="18" max="16384" width="8.625" style="1"/>
  </cols>
  <sheetData>
    <row r="1" spans="1:16" ht="11.25" customHeight="1" x14ac:dyDescent="0.25">
      <c r="A1" s="22" t="s">
        <v>0</v>
      </c>
      <c r="B1" s="22"/>
      <c r="C1" s="22"/>
      <c r="D1" s="22"/>
      <c r="E1" s="22"/>
      <c r="F1" s="22"/>
      <c r="G1" s="22"/>
      <c r="H1" s="22"/>
      <c r="I1" s="22"/>
      <c r="J1" s="22"/>
      <c r="K1" s="22"/>
      <c r="L1" s="22"/>
      <c r="M1" s="22"/>
      <c r="N1" s="22"/>
    </row>
    <row r="2" spans="1:16" ht="11.25" customHeight="1" x14ac:dyDescent="0.25">
      <c r="A2" s="22" t="s">
        <v>20</v>
      </c>
      <c r="B2" s="22"/>
      <c r="C2" s="22"/>
      <c r="D2" s="22"/>
      <c r="E2" s="22"/>
      <c r="F2" s="22"/>
      <c r="G2" s="22"/>
      <c r="H2" s="22"/>
      <c r="I2" s="22"/>
      <c r="J2" s="22"/>
      <c r="K2" s="22"/>
      <c r="L2" s="22"/>
      <c r="M2" s="22"/>
      <c r="N2" s="22"/>
    </row>
    <row r="3" spans="1:16" ht="11.25" customHeight="1" x14ac:dyDescent="0.25">
      <c r="A3" s="22"/>
      <c r="B3" s="22"/>
      <c r="C3" s="22"/>
      <c r="D3" s="22"/>
      <c r="E3" s="22"/>
      <c r="F3" s="22"/>
      <c r="G3" s="22"/>
      <c r="H3" s="22"/>
      <c r="I3" s="22"/>
      <c r="J3" s="22"/>
      <c r="K3" s="22"/>
      <c r="L3" s="22"/>
      <c r="M3" s="22"/>
      <c r="N3" s="22"/>
    </row>
    <row r="4" spans="1:16" ht="11.25" customHeight="1" x14ac:dyDescent="0.25">
      <c r="A4" s="22" t="s">
        <v>1</v>
      </c>
      <c r="B4" s="22"/>
      <c r="C4" s="22"/>
      <c r="D4" s="22"/>
      <c r="E4" s="22"/>
      <c r="F4" s="22"/>
      <c r="G4" s="22"/>
      <c r="H4" s="22"/>
      <c r="I4" s="22"/>
      <c r="J4" s="22"/>
      <c r="K4" s="22"/>
      <c r="L4" s="22"/>
      <c r="M4" s="22"/>
      <c r="N4" s="22"/>
    </row>
    <row r="5" spans="1:16" ht="11.25" customHeight="1" x14ac:dyDescent="0.25">
      <c r="A5" s="23"/>
      <c r="B5" s="23"/>
      <c r="C5" s="23"/>
      <c r="D5" s="23"/>
      <c r="E5" s="23"/>
      <c r="F5" s="23"/>
      <c r="G5" s="23"/>
      <c r="H5" s="23"/>
      <c r="I5" s="23"/>
      <c r="J5" s="23"/>
      <c r="K5" s="23"/>
      <c r="L5" s="23"/>
      <c r="M5" s="23"/>
      <c r="N5" s="23"/>
    </row>
    <row r="6" spans="1:16" ht="11.25" customHeight="1" x14ac:dyDescent="0.25">
      <c r="A6" s="21" t="s">
        <v>21</v>
      </c>
      <c r="B6" s="21"/>
      <c r="C6" s="21"/>
      <c r="D6" s="5"/>
      <c r="E6" s="6">
        <v>2017</v>
      </c>
      <c r="F6" s="7"/>
      <c r="G6" s="6">
        <v>2018</v>
      </c>
      <c r="H6" s="7"/>
      <c r="I6" s="6">
        <v>2019</v>
      </c>
      <c r="J6" s="7"/>
      <c r="K6" s="6">
        <v>2020</v>
      </c>
      <c r="L6" s="7"/>
      <c r="M6" s="6">
        <v>2021</v>
      </c>
      <c r="N6" s="7"/>
    </row>
    <row r="7" spans="1:16" ht="11.25" customHeight="1" x14ac:dyDescent="0.2">
      <c r="A7" s="21" t="s">
        <v>2</v>
      </c>
      <c r="B7" s="21"/>
      <c r="C7" s="21"/>
    </row>
    <row r="8" spans="1:16" ht="11.25" customHeight="1" x14ac:dyDescent="0.25">
      <c r="A8" s="11" t="s">
        <v>3</v>
      </c>
      <c r="B8" s="5"/>
      <c r="C8" s="5"/>
      <c r="D8" s="12"/>
      <c r="E8" s="13">
        <v>28791</v>
      </c>
      <c r="F8" s="14"/>
      <c r="G8" s="13">
        <v>28137</v>
      </c>
      <c r="H8" s="14"/>
      <c r="I8" s="13">
        <v>29620</v>
      </c>
      <c r="J8" s="14" t="s">
        <v>4</v>
      </c>
      <c r="K8" s="13">
        <v>28491</v>
      </c>
      <c r="L8" s="14"/>
      <c r="M8" s="13">
        <v>18845</v>
      </c>
      <c r="N8" s="14"/>
      <c r="O8" s="3">
        <f>(K8-I8)/I8*100</f>
        <v>-3.8</v>
      </c>
      <c r="P8" s="4">
        <f>(M8-K8)/K8*100</f>
        <v>-34</v>
      </c>
    </row>
    <row r="9" spans="1:16" ht="11.25" customHeight="1" x14ac:dyDescent="0.25">
      <c r="A9" s="11" t="s">
        <v>5</v>
      </c>
      <c r="B9" s="5"/>
      <c r="C9" s="5" t="s">
        <v>6</v>
      </c>
      <c r="D9" s="15"/>
      <c r="E9" s="16">
        <v>9096</v>
      </c>
      <c r="F9" s="7"/>
      <c r="G9" s="16">
        <v>9235</v>
      </c>
      <c r="H9" s="7"/>
      <c r="I9" s="16">
        <v>14484</v>
      </c>
      <c r="J9" s="7"/>
      <c r="K9" s="16">
        <v>19725</v>
      </c>
      <c r="L9" s="7"/>
      <c r="M9" s="16">
        <v>8100</v>
      </c>
      <c r="N9" s="7"/>
      <c r="O9" s="3">
        <f t="shared" ref="O9:O16" si="0">(K9-I9)/I9*100</f>
        <v>36.200000000000003</v>
      </c>
      <c r="P9" s="4">
        <f t="shared" ref="P9:P16" si="1">(M9-K9)/K9*100</f>
        <v>-59</v>
      </c>
    </row>
    <row r="10" spans="1:16" ht="11.25" customHeight="1" x14ac:dyDescent="0.25">
      <c r="A10" s="11" t="s">
        <v>7</v>
      </c>
      <c r="B10" s="5"/>
      <c r="C10" s="5"/>
      <c r="E10" s="17"/>
      <c r="F10" s="18"/>
      <c r="G10" s="17"/>
      <c r="H10" s="18"/>
      <c r="I10" s="17"/>
      <c r="J10" s="18"/>
      <c r="K10" s="17"/>
      <c r="L10" s="18"/>
      <c r="M10" s="17"/>
      <c r="N10" s="18"/>
    </row>
    <row r="11" spans="1:16" ht="11.25" customHeight="1" x14ac:dyDescent="0.25">
      <c r="A11" s="19" t="s">
        <v>8</v>
      </c>
      <c r="B11" s="5"/>
      <c r="C11" s="5" t="s">
        <v>9</v>
      </c>
      <c r="D11" s="12"/>
      <c r="E11" s="13">
        <v>11714</v>
      </c>
      <c r="F11" s="14"/>
      <c r="G11" s="13">
        <v>10711</v>
      </c>
      <c r="H11" s="14"/>
      <c r="I11" s="13">
        <v>12200</v>
      </c>
      <c r="J11" s="14"/>
      <c r="K11" s="13">
        <v>12515</v>
      </c>
      <c r="L11" s="14"/>
      <c r="M11" s="13">
        <v>12809</v>
      </c>
      <c r="N11" s="14" t="s">
        <v>14</v>
      </c>
      <c r="O11" s="3">
        <f t="shared" si="0"/>
        <v>2.6</v>
      </c>
      <c r="P11" s="4">
        <f t="shared" si="1"/>
        <v>2</v>
      </c>
    </row>
    <row r="12" spans="1:16" ht="11.25" customHeight="1" x14ac:dyDescent="0.25">
      <c r="A12" s="19" t="s">
        <v>10</v>
      </c>
      <c r="B12" s="5"/>
      <c r="C12" s="5" t="s">
        <v>11</v>
      </c>
      <c r="D12" s="15"/>
      <c r="E12" s="16">
        <v>7320</v>
      </c>
      <c r="F12" s="7"/>
      <c r="G12" s="16">
        <v>6694</v>
      </c>
      <c r="H12" s="7"/>
      <c r="I12" s="16">
        <v>7625</v>
      </c>
      <c r="J12" s="7"/>
      <c r="K12" s="16">
        <v>7822</v>
      </c>
      <c r="L12" s="7"/>
      <c r="M12" s="16">
        <v>8005</v>
      </c>
      <c r="N12" s="7"/>
      <c r="O12" s="3">
        <f t="shared" si="0"/>
        <v>2.6</v>
      </c>
      <c r="P12" s="4">
        <f t="shared" si="1"/>
        <v>2</v>
      </c>
    </row>
    <row r="13" spans="1:16" ht="11.25" customHeight="1" x14ac:dyDescent="0.25">
      <c r="A13" s="21" t="s">
        <v>12</v>
      </c>
      <c r="B13" s="21"/>
      <c r="C13" s="21"/>
      <c r="E13" s="17"/>
      <c r="F13" s="18"/>
      <c r="G13" s="17"/>
      <c r="H13" s="18"/>
      <c r="I13" s="17"/>
      <c r="J13" s="18"/>
      <c r="K13" s="17"/>
      <c r="L13" s="18"/>
      <c r="M13" s="17"/>
      <c r="N13" s="18"/>
    </row>
    <row r="14" spans="1:16" ht="11.25" customHeight="1" x14ac:dyDescent="0.25">
      <c r="A14" s="11" t="s">
        <v>13</v>
      </c>
      <c r="B14" s="5"/>
      <c r="C14" s="5" t="s">
        <v>11</v>
      </c>
      <c r="D14" s="12"/>
      <c r="E14" s="13">
        <v>850</v>
      </c>
      <c r="F14" s="14"/>
      <c r="G14" s="13">
        <v>1023</v>
      </c>
      <c r="H14" s="14" t="s">
        <v>4</v>
      </c>
      <c r="I14" s="13">
        <v>1000</v>
      </c>
      <c r="J14" s="14" t="s">
        <v>4</v>
      </c>
      <c r="K14" s="13">
        <v>970</v>
      </c>
      <c r="L14" s="14"/>
      <c r="M14" s="13">
        <v>998</v>
      </c>
      <c r="N14" s="14"/>
      <c r="O14" s="3">
        <f t="shared" si="0"/>
        <v>-3</v>
      </c>
      <c r="P14" s="4">
        <f t="shared" si="1"/>
        <v>3</v>
      </c>
    </row>
    <row r="15" spans="1:16" ht="11.25" customHeight="1" x14ac:dyDescent="0.25">
      <c r="A15" s="11" t="s">
        <v>19</v>
      </c>
      <c r="B15" s="5"/>
      <c r="C15" s="5"/>
      <c r="D15" s="15"/>
      <c r="E15" s="16">
        <v>200000</v>
      </c>
      <c r="F15" s="7"/>
      <c r="G15" s="16">
        <v>200000</v>
      </c>
      <c r="H15" s="7" t="s">
        <v>14</v>
      </c>
      <c r="I15" s="16">
        <v>250000</v>
      </c>
      <c r="J15" s="7" t="s">
        <v>14</v>
      </c>
      <c r="K15" s="16">
        <v>200000</v>
      </c>
      <c r="L15" s="7" t="s">
        <v>14</v>
      </c>
      <c r="M15" s="16">
        <v>200000</v>
      </c>
      <c r="N15" s="7" t="s">
        <v>14</v>
      </c>
      <c r="O15" s="3">
        <f t="shared" si="0"/>
        <v>-20</v>
      </c>
      <c r="P15" s="4">
        <f t="shared" si="1"/>
        <v>0</v>
      </c>
    </row>
    <row r="16" spans="1:16" ht="11.25" customHeight="1" x14ac:dyDescent="0.25">
      <c r="A16" s="11" t="s">
        <v>22</v>
      </c>
      <c r="B16" s="5"/>
      <c r="C16" s="5"/>
      <c r="D16" s="15"/>
      <c r="E16" s="16">
        <v>1000</v>
      </c>
      <c r="F16" s="7"/>
      <c r="G16" s="16">
        <v>1000</v>
      </c>
      <c r="H16" s="7"/>
      <c r="I16" s="16">
        <v>1000</v>
      </c>
      <c r="J16" s="7"/>
      <c r="K16" s="16">
        <v>1000</v>
      </c>
      <c r="L16" s="7"/>
      <c r="M16" s="16">
        <v>1000</v>
      </c>
      <c r="N16" s="7"/>
      <c r="O16" s="3">
        <f t="shared" si="0"/>
        <v>0</v>
      </c>
      <c r="P16" s="4">
        <f t="shared" si="1"/>
        <v>0</v>
      </c>
    </row>
    <row r="17" spans="1:14" ht="11.25" customHeight="1" x14ac:dyDescent="0.25">
      <c r="A17" s="21" t="s">
        <v>15</v>
      </c>
      <c r="B17" s="21"/>
      <c r="C17" s="21"/>
      <c r="E17" s="17"/>
      <c r="F17" s="18"/>
      <c r="G17" s="17"/>
      <c r="H17" s="18"/>
      <c r="I17" s="17"/>
      <c r="J17" s="18"/>
      <c r="K17" s="17"/>
      <c r="L17" s="18"/>
      <c r="M17" s="17"/>
      <c r="N17" s="18"/>
    </row>
    <row r="18" spans="1:14" ht="11.25" customHeight="1" x14ac:dyDescent="0.25">
      <c r="A18" s="11" t="s">
        <v>16</v>
      </c>
      <c r="B18" s="5"/>
      <c r="C18" s="5" t="s">
        <v>17</v>
      </c>
      <c r="E18" s="17">
        <v>1191</v>
      </c>
      <c r="F18" s="18"/>
      <c r="G18" s="17">
        <v>1460</v>
      </c>
      <c r="H18" s="18"/>
      <c r="I18" s="20" t="s">
        <v>18</v>
      </c>
      <c r="J18" s="18"/>
      <c r="K18" s="20" t="s">
        <v>18</v>
      </c>
      <c r="L18" s="18"/>
      <c r="M18" s="20" t="s">
        <v>18</v>
      </c>
      <c r="N18" s="18"/>
    </row>
    <row r="19" spans="1:14" ht="11.25" customHeight="1" x14ac:dyDescent="0.25">
      <c r="A19" s="24" t="s">
        <v>23</v>
      </c>
      <c r="B19" s="24"/>
      <c r="C19" s="24"/>
      <c r="D19" s="24"/>
      <c r="E19" s="24"/>
      <c r="F19" s="24"/>
      <c r="G19" s="24"/>
      <c r="H19" s="24"/>
      <c r="I19" s="24"/>
      <c r="J19" s="24"/>
      <c r="K19" s="24"/>
      <c r="L19" s="24"/>
      <c r="M19" s="24"/>
      <c r="N19" s="24"/>
    </row>
    <row r="20" spans="1:14" ht="22.9" customHeight="1" x14ac:dyDescent="0.25">
      <c r="A20" s="25" t="s">
        <v>24</v>
      </c>
      <c r="B20" s="25"/>
      <c r="C20" s="25"/>
      <c r="D20" s="25"/>
      <c r="E20" s="25"/>
      <c r="F20" s="25"/>
      <c r="G20" s="25"/>
      <c r="H20" s="25"/>
      <c r="I20" s="25"/>
      <c r="J20" s="25"/>
      <c r="K20" s="25"/>
      <c r="L20" s="25"/>
      <c r="M20" s="25"/>
      <c r="N20" s="25"/>
    </row>
    <row r="21" spans="1:14" ht="22.9" customHeight="1" x14ac:dyDescent="0.25">
      <c r="A21" s="25" t="s">
        <v>25</v>
      </c>
      <c r="B21" s="25"/>
      <c r="C21" s="25"/>
      <c r="D21" s="25"/>
      <c r="E21" s="25"/>
      <c r="F21" s="25"/>
      <c r="G21" s="25"/>
      <c r="H21" s="25"/>
      <c r="I21" s="25"/>
      <c r="J21" s="25"/>
      <c r="K21" s="25"/>
      <c r="L21" s="25"/>
      <c r="M21" s="25"/>
      <c r="N21" s="25"/>
    </row>
  </sheetData>
  <mergeCells count="12">
    <mergeCell ref="A17:C17"/>
    <mergeCell ref="A13:C13"/>
    <mergeCell ref="A19:N19"/>
    <mergeCell ref="A20:N20"/>
    <mergeCell ref="A21:N21"/>
    <mergeCell ref="A6:C6"/>
    <mergeCell ref="A7:C7"/>
    <mergeCell ref="A1:N1"/>
    <mergeCell ref="A2:N2"/>
    <mergeCell ref="A3:N3"/>
    <mergeCell ref="A4:N4"/>
    <mergeCell ref="A5:N5"/>
  </mergeCells>
  <pageMargins left="0.5" right="0.5" top="0.5" bottom="0.75" header="0.5" footer="0.5"/>
  <pageSetup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0AE6DDCCE4F64AB96B54634ACF1B32" ma:contentTypeVersion="19" ma:contentTypeDescription="Create a new document." ma:contentTypeScope="" ma:versionID="2f129b4818b48e7881630c11aef9b62d">
  <xsd:schema xmlns:xsd="http://www.w3.org/2001/XMLSchema" xmlns:xs="http://www.w3.org/2001/XMLSchema" xmlns:p="http://schemas.microsoft.com/office/2006/metadata/properties" xmlns:ns1="http://schemas.microsoft.com/sharepoint/v3" xmlns:ns2="d925d976-9e2a-4bab-ad6d-d3ef45ec2550" xmlns:ns3="08020ff4-f632-4952-8504-a4a18e274e6c" xmlns:ns4="31062a0d-ede8-4112-b4bb-00a9c1bc8e16" targetNamespace="http://schemas.microsoft.com/office/2006/metadata/properties" ma:root="true" ma:fieldsID="8d0b0548c58e425a5419fb4e5a77f19b" ns1:_="" ns2:_="" ns3:_="" ns4:_="">
    <xsd:import namespace="http://schemas.microsoft.com/sharepoint/v3"/>
    <xsd:import namespace="d925d976-9e2a-4bab-ad6d-d3ef45ec2550"/>
    <xsd:import namespace="08020ff4-f632-4952-8504-a4a18e274e6c"/>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Date_x0020_and_x0020_Time"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5d976-9e2a-4bab-ad6d-d3ef45ec25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Date_x0020_and_x0020_Time" ma:index="15" nillable="true" ma:displayName="Date and Time" ma:format="DateTime" ma:internalName="Date_x0020_and_x0020_Time">
      <xsd:simpleType>
        <xsd:restriction base="dms:DateTim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020ff4-f632-4952-8504-a4a18e274e6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5462c4f-e196-468f-8ddd-ac3b3426e5e8}" ma:internalName="TaxCatchAll" ma:showField="CatchAllData" ma:web="d36856fe-d4a9-4f0b-87a7-8fa063632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ate_x0020_and_x0020_Time xmlns="d925d976-9e2a-4bab-ad6d-d3ef45ec2550" xsi:nil="true"/>
    <_ip_UnifiedCompliancePolicyProperties xmlns="http://schemas.microsoft.com/sharepoint/v3" xsi:nil="true"/>
    <lcf76f155ced4ddcb4097134ff3c332f xmlns="d925d976-9e2a-4bab-ad6d-d3ef45ec2550">
      <Terms xmlns="http://schemas.microsoft.com/office/infopath/2007/PartnerControls"/>
    </lcf76f155ced4ddcb4097134ff3c332f>
    <TaxCatchAll xmlns="31062a0d-ede8-4112-b4bb-00a9c1bc8e16" xsi:nil="true"/>
  </documentManagement>
</p:properties>
</file>

<file path=customXml/itemProps1.xml><?xml version="1.0" encoding="utf-8"?>
<ds:datastoreItem xmlns:ds="http://schemas.openxmlformats.org/officeDocument/2006/customXml" ds:itemID="{B3D48202-30BF-4936-A54F-7EBF1D3C3C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25d976-9e2a-4bab-ad6d-d3ef45ec2550"/>
    <ds:schemaRef ds:uri="08020ff4-f632-4952-8504-a4a18e274e6c"/>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3DB742-B02F-4A0B-A71D-FA321F5929D9}">
  <ds:schemaRefs>
    <ds:schemaRef ds:uri="http://schemas.microsoft.com/sharepoint/v3/contenttype/forms"/>
  </ds:schemaRefs>
</ds:datastoreItem>
</file>

<file path=customXml/itemProps3.xml><?xml version="1.0" encoding="utf-8"?>
<ds:datastoreItem xmlns:ds="http://schemas.openxmlformats.org/officeDocument/2006/customXml" ds:itemID="{ABC0852D-806C-4E29-9402-6596607B04E1}">
  <ds:schemaRefs>
    <ds:schemaRef ds:uri="08020ff4-f632-4952-8504-a4a18e274e6c"/>
    <ds:schemaRef ds:uri="http://purl.org/dc/elements/1.1/"/>
    <ds:schemaRef ds:uri="http://schemas.microsoft.com/office/2006/metadata/properties"/>
    <ds:schemaRef ds:uri="31062a0d-ede8-4112-b4bb-00a9c1bc8e16"/>
    <ds:schemaRef ds:uri="http://schemas.microsoft.com/sharepoint/v3"/>
    <ds:schemaRef ds:uri="http://purl.org/dc/terms/"/>
    <ds:schemaRef ds:uri="http://schemas.microsoft.com/office/2006/documentManagement/types"/>
    <ds:schemaRef ds:uri="http://schemas.microsoft.com/office/infopath/2007/PartnerControls"/>
    <ds:schemaRef ds:uri="d925d976-9e2a-4bab-ad6d-d3ef45ec2550"/>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Taib, Mowafa</dc:creator>
  <cp:keywords/>
  <dc:description/>
  <cp:lastModifiedBy>Hakim, Samir</cp:lastModifiedBy>
  <cp:revision/>
  <dcterms:created xsi:type="dcterms:W3CDTF">2020-07-28T16:37:33Z</dcterms:created>
  <dcterms:modified xsi:type="dcterms:W3CDTF">2024-08-07T14:37:23Z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0x010100E70AE6DDCCE4F64AB96B54634ACF1B32</vt:lpwstr>
  </property>
  <property fmtid="{D5CDD505-2E9C-101B-9397-08002B2CF9AE}" pid="3" name="{A44787D4-0540-4523-9961-78E4036D8C6D}">
    <vt:lpwstr>{B34C6BA9-A020-4F19-BDE4-AA9CAB038706}</vt:lpwstr>
  </property>
  <property fmtid="{D5CDD505-2E9C-101B-9397-08002B2CF9AE}" pid="4" name="MediaServiceImageTags">
    <vt:lpwstr/>
  </property>
</Properties>
</file>