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C:\Users\jishee\Desktop\2020-21_MYB\_Submitted_for_posting\Libya\layout_by_XX\"/>
    </mc:Choice>
  </mc:AlternateContent>
  <xr:revisionPtr revIDLastSave="0" documentId="13_ncr:1_{CA0273A7-E65D-4E19-9C01-7D10E37227EF}" xr6:coauthVersionLast="47" xr6:coauthVersionMax="47" xr10:uidLastSave="{00000000-0000-0000-0000-000000000000}"/>
  <bookViews>
    <workbookView xWindow="-29604" yWindow="-1236" windowWidth="23040" windowHeight="12120" xr2:uid="{00000000-000D-0000-FFFF-FFFF00000000}"/>
  </bookViews>
  <sheets>
    <sheet name="Text" sheetId="3" r:id="rId1"/>
    <sheet name="Table 1" sheetId="1" r:id="rId2"/>
    <sheet name="Table 2" sheetId="2" r:id="rId3"/>
  </sheet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1" l="1"/>
  <c r="P34" i="1"/>
  <c r="O34" i="1"/>
  <c r="P33" i="1"/>
  <c r="O33" i="1"/>
  <c r="P32" i="1"/>
  <c r="O32" i="1"/>
  <c r="P31" i="1"/>
  <c r="O31" i="1"/>
  <c r="P30" i="1"/>
  <c r="O30" i="1"/>
  <c r="P29" i="1"/>
  <c r="O29" i="1"/>
  <c r="P27" i="1"/>
  <c r="O27" i="1"/>
  <c r="P26" i="1"/>
  <c r="O26" i="1"/>
  <c r="P24" i="1"/>
  <c r="O24" i="1"/>
  <c r="P23" i="1"/>
  <c r="O23" i="1"/>
  <c r="P21" i="1"/>
  <c r="O21" i="1"/>
  <c r="P19" i="1"/>
  <c r="O19" i="1"/>
  <c r="P18" i="1"/>
  <c r="O18" i="1"/>
  <c r="P17" i="1"/>
  <c r="O17" i="1"/>
  <c r="P16" i="1"/>
  <c r="O16" i="1"/>
  <c r="P14" i="1"/>
  <c r="O14" i="1"/>
  <c r="P13" i="1"/>
  <c r="O13" i="1"/>
  <c r="P12" i="1"/>
  <c r="P10" i="1"/>
  <c r="O10" i="1"/>
  <c r="P9" i="1"/>
  <c r="O9" i="1"/>
</calcChain>
</file>

<file path=xl/sharedStrings.xml><?xml version="1.0" encoding="utf-8"?>
<sst xmlns="http://schemas.openxmlformats.org/spreadsheetml/2006/main" count="364" uniqueCount="219">
  <si>
    <t>TABLE 1</t>
  </si>
  <si>
    <r>
      <t>LIBYA: PRODUCTION OF MINERAL COMMODITIES</t>
    </r>
    <r>
      <rPr>
        <vertAlign val="superscript"/>
        <sz val="8"/>
        <color theme="1"/>
        <rFont val="Times New Roman"/>
        <family val="1"/>
      </rPr>
      <t>1</t>
    </r>
  </si>
  <si>
    <t>(Thousand metric tons, gross weight, unless otherwise specified)</t>
  </si>
  <si>
    <r>
      <t>Commodity</t>
    </r>
    <r>
      <rPr>
        <vertAlign val="superscript"/>
        <sz val="8"/>
        <color theme="1"/>
        <rFont val="Times New Roman"/>
        <family val="1"/>
      </rPr>
      <t>2</t>
    </r>
  </si>
  <si>
    <t>% change  20/19</t>
  </si>
  <si>
    <t>% change  21/20</t>
  </si>
  <si>
    <t>METALS</t>
  </si>
  <si>
    <t>Iron and steel:</t>
  </si>
  <si>
    <t>Direct-reduced iron</t>
  </si>
  <si>
    <t>Raw steel</t>
  </si>
  <si>
    <t>INDUSTRIAL MINERALS</t>
  </si>
  <si>
    <t>Cement, hydraulic</t>
  </si>
  <si>
    <t>r</t>
  </si>
  <si>
    <t>e</t>
  </si>
  <si>
    <r>
      <t>Lime</t>
    </r>
    <r>
      <rPr>
        <vertAlign val="superscript"/>
        <sz val="8"/>
        <color theme="1"/>
        <rFont val="Times New Roman"/>
        <family val="1"/>
      </rPr>
      <t>e, 3</t>
    </r>
  </si>
  <si>
    <t>Nitrogen, N content:</t>
  </si>
  <si>
    <t>Ammonia</t>
  </si>
  <si>
    <t>Urea</t>
  </si>
  <si>
    <t>r, e</t>
  </si>
  <si>
    <r>
      <t>Salt</t>
    </r>
    <r>
      <rPr>
        <vertAlign val="superscript"/>
        <sz val="8"/>
        <color theme="1"/>
        <rFont val="Times New Roman"/>
        <family val="1"/>
      </rPr>
      <t>e</t>
    </r>
  </si>
  <si>
    <t>Sulfur, byproduct, natural gas and petroleum, S content</t>
  </si>
  <si>
    <t>MINERAL FUELS AND RELATED MATERIALS</t>
  </si>
  <si>
    <t>Methanol</t>
  </si>
  <si>
    <t>Natural gas:</t>
  </si>
  <si>
    <t>Gross</t>
  </si>
  <si>
    <t>million cubic meters</t>
  </si>
  <si>
    <t>Dry basis</t>
  </si>
  <si>
    <t>do.</t>
  </si>
  <si>
    <t>Petroleum:</t>
  </si>
  <si>
    <t>Crude</t>
  </si>
  <si>
    <t>thousand 42-gallon barrels</t>
  </si>
  <si>
    <t>Refinery:</t>
  </si>
  <si>
    <t>Distillate fuel oil</t>
  </si>
  <si>
    <t>Gasoline</t>
  </si>
  <si>
    <t>Kerosene, including jet fuel</t>
  </si>
  <si>
    <t>Residual fuel oil</t>
  </si>
  <si>
    <t>Other</t>
  </si>
  <si>
    <t>Total</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</si>
  <si>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 xml:space="preserve">Revised.  do. Ditto.  </t>
    </r>
  </si>
  <si>
    <r>
      <t>1</t>
    </r>
    <r>
      <rPr>
        <sz val="8"/>
        <color theme="1"/>
        <rFont val="Times New Roman"/>
        <family val="1"/>
      </rPr>
      <t>Table includes data available through July 28, 2022. All data are reported unless otherwise noted. Totals and estimated data are rounded to no more than three significant digits; may not add to totals shown.</t>
    </r>
  </si>
  <si>
    <r>
      <t>3</t>
    </r>
    <r>
      <rPr>
        <sz val="8"/>
        <color theme="1"/>
        <rFont val="Times New Roman"/>
        <family val="1"/>
      </rPr>
      <t>May include dolomite.</t>
    </r>
  </si>
  <si>
    <t>TABLE 2</t>
  </si>
  <si>
    <t>LIBYA: STRUCTURE OF THE MINERAL INDUSTRY IN 2021</t>
  </si>
  <si>
    <t xml:space="preserve"> </t>
  </si>
  <si>
    <t>Annual</t>
  </si>
  <si>
    <t>Commodity</t>
  </si>
  <si>
    <t>Major operating companies and major equity owners</t>
  </si>
  <si>
    <t>Location of main facilities</t>
  </si>
  <si>
    <t>capacity</t>
  </si>
  <si>
    <t>Asphalt</t>
  </si>
  <si>
    <t xml:space="preserve">Azzawiya Oil Refining Co. [National Oil Corp. (NOC), </t>
  </si>
  <si>
    <t>Plants at Az Zawiya and Benghazi</t>
  </si>
  <si>
    <t>100%)]</t>
  </si>
  <si>
    <t>Cement</t>
  </si>
  <si>
    <t>Libyan Cement Co. Inc. (LCC) (Libya Holdings Group</t>
  </si>
  <si>
    <t xml:space="preserve">Two plants at Benghazi </t>
  </si>
  <si>
    <t xml:space="preserve"> Ltd., 90%, and plant employees, 10%)</t>
  </si>
  <si>
    <t>Do.</t>
  </si>
  <si>
    <t>Arab Union Contracting Co.</t>
  </si>
  <si>
    <t>Al Burj cement plant, Zliten,</t>
  </si>
  <si>
    <t>Plant at Leptis, El Margueb District</t>
  </si>
  <si>
    <t>Plant in Suq al Khamis District</t>
  </si>
  <si>
    <t>Libyan Iron and Steel Co. (Government, 100%)</t>
  </si>
  <si>
    <t>Sedada Quarry, east of Misuratah</t>
  </si>
  <si>
    <t>Gypsum</t>
  </si>
  <si>
    <t>Quarries at Ghadames</t>
  </si>
  <si>
    <t>Plant and quarry at Zliten</t>
  </si>
  <si>
    <t>Iron:</t>
  </si>
  <si>
    <t>Direct-reduced (sponge iron)</t>
  </si>
  <si>
    <t>Hot-briquetted iron</t>
  </si>
  <si>
    <t>Steel:</t>
  </si>
  <si>
    <t>Raw</t>
  </si>
  <si>
    <t>Rolled:</t>
  </si>
  <si>
    <t>Bar and rod</t>
  </si>
  <si>
    <t>Cold-rolled strip</t>
  </si>
  <si>
    <t>Hot-rolled strip</t>
  </si>
  <si>
    <t>Galvanized coils</t>
  </si>
  <si>
    <t>Painted coils</t>
  </si>
  <si>
    <t>Sirte Oil Co. [National Oil Corp. (NOC), 100%]</t>
  </si>
  <si>
    <t xml:space="preserve">Plant at Marsa al Brega </t>
  </si>
  <si>
    <t>million cubic</t>
  </si>
  <si>
    <t>Mellitah Oil and Gas B.V. [National Oil Corp.</t>
  </si>
  <si>
    <t xml:space="preserve"> meters</t>
  </si>
  <si>
    <t>do</t>
  </si>
  <si>
    <t xml:space="preserve">Arabian Gulf Oil Co. [National Oil Corp. </t>
  </si>
  <si>
    <t xml:space="preserve">Fields include the Beda, the Brega </t>
  </si>
  <si>
    <t>(NOC), 100%]</t>
  </si>
  <si>
    <t xml:space="preserve">Oilfields include the Al Fedaa, the </t>
  </si>
  <si>
    <t xml:space="preserve">Al Hakeem, the Al Sabah, the Intisar </t>
  </si>
  <si>
    <t>Waha Oil Co. [National Oil Corp. (NOC),</t>
  </si>
  <si>
    <t>Oilfields include the Dahra, the Gialo,</t>
  </si>
  <si>
    <t>NA</t>
  </si>
  <si>
    <t xml:space="preserve">59.2%, and ConocoPhillips Co., Marathon Oil </t>
  </si>
  <si>
    <t>Corp., and Hess Corp., 40.8%]</t>
  </si>
  <si>
    <t>Nitrogen:</t>
  </si>
  <si>
    <t>See footnotes at end of table.</t>
  </si>
  <si>
    <t>TABLE 2—Continued</t>
  </si>
  <si>
    <t>(Thousand metric tons unless otherwise specified)</t>
  </si>
  <si>
    <t xml:space="preserve">thousand </t>
  </si>
  <si>
    <t xml:space="preserve">42-gallon </t>
  </si>
  <si>
    <t>barrels</t>
  </si>
  <si>
    <t>Total S.A., 12%]</t>
  </si>
  <si>
    <t xml:space="preserve">Oilfields include the Beida, the Brega </t>
  </si>
  <si>
    <t xml:space="preserve">Harouge Oil Operations Co. [National Oil Corp. </t>
  </si>
  <si>
    <t>(NOC), 88%, and Petro-Canada, 12%]</t>
  </si>
  <si>
    <t xml:space="preserve">Mabruk Oil Operations [National Oil Corp. (NOC), </t>
  </si>
  <si>
    <t xml:space="preserve">73%; Total S.A., 20.25%; Wintershall Holding </t>
  </si>
  <si>
    <t>GmbH, 6.75%]</t>
  </si>
  <si>
    <t xml:space="preserve">Mellitah Oil Co. [National Oil Corp. (NOC), </t>
  </si>
  <si>
    <t>Oilfields include the Bhar Essalam, the</t>
  </si>
  <si>
    <t>85%, and Eni S.p.A., 15%]</t>
  </si>
  <si>
    <t xml:space="preserve">Sirte Oil Co. [National Oil Corp. (NOC), </t>
  </si>
  <si>
    <t>100%]</t>
  </si>
  <si>
    <t>Oilfields include the Al Fidaa/Hakeem,</t>
  </si>
  <si>
    <t>the Sabha, and the Zella</t>
  </si>
  <si>
    <t>Refined</t>
  </si>
  <si>
    <t>Refinery at Ras Lanuf</t>
  </si>
  <si>
    <t>Refinery at Az Zawiya</t>
  </si>
  <si>
    <t>Refinery at Tobruk</t>
  </si>
  <si>
    <t>Refinery at Sarir</t>
  </si>
  <si>
    <t xml:space="preserve">Refinery at Marsa al Brega </t>
  </si>
  <si>
    <t>Salt</t>
  </si>
  <si>
    <t>Al Khams District</t>
  </si>
  <si>
    <t>Brines at Sabkhet Twelat Ghazala</t>
  </si>
  <si>
    <t>Reefal W.L.L. Co.</t>
  </si>
  <si>
    <t>Brines at Misuratah</t>
  </si>
  <si>
    <t>Small-scale private miners</t>
  </si>
  <si>
    <t>Libya Star Co.</t>
  </si>
  <si>
    <t>Brine at Washkah in Misuratah</t>
  </si>
  <si>
    <t>Sulfur</t>
  </si>
  <si>
    <t xml:space="preserve">Mellitah Oil and Gas B.V. [National Oil Corp. (NOC), </t>
  </si>
  <si>
    <t>60%, and Eni S.p.A., 40%]</t>
  </si>
  <si>
    <t>Plant at Misuratah (Mistrata)</t>
  </si>
  <si>
    <t>Joint venture of National Oil Corp. (NOC),</t>
  </si>
  <si>
    <t>Lime, hydraulic</t>
  </si>
  <si>
    <t>Gold</t>
  </si>
  <si>
    <t>Plant at El Fataih, Derna District</t>
  </si>
  <si>
    <t xml:space="preserve">Mining sites in Southern libya near </t>
  </si>
  <si>
    <t xml:space="preserve"> 51%, and Wintershall Holding GmbH, 49%</t>
  </si>
  <si>
    <t xml:space="preserve">Plant at Abu Kammash, An Nuqat </t>
  </si>
  <si>
    <t>Do., do. Ditto.  NA Not available.</t>
  </si>
  <si>
    <t>Quarries in Suq al Khamis District</t>
  </si>
  <si>
    <t>Plant at Lubda, Suq al Khamis District</t>
  </si>
  <si>
    <t xml:space="preserve"> Oil Corp., 16.3%; Ameralxa Hess Corp., 8.2%]</t>
  </si>
  <si>
    <t>Natural gas liquids</t>
  </si>
  <si>
    <t>Plant at Zliten, El Margueb District</t>
  </si>
  <si>
    <t>Plant at Mersa El Brega</t>
  </si>
  <si>
    <t>and OMV A.G., 12%]</t>
  </si>
  <si>
    <t xml:space="preserve"> Zueitina Oil Co. [National Oil Corp. (NOC), 88%, </t>
  </si>
  <si>
    <t>and the Zella</t>
  </si>
  <si>
    <t>Bouri (offshore), the Abu Attifel,</t>
  </si>
  <si>
    <t xml:space="preserve"> Zueitina Oil Co. [National Oil Corp. (NOC), 88%,</t>
  </si>
  <si>
    <r>
      <t>Gypsum, mine</t>
    </r>
    <r>
      <rPr>
        <vertAlign val="superscript"/>
        <sz val="8"/>
        <color theme="1"/>
        <rFont val="Times New Roman"/>
        <family val="1"/>
      </rPr>
      <t>e</t>
    </r>
  </si>
  <si>
    <r>
      <t>2</t>
    </r>
    <r>
      <rPr>
        <sz val="8"/>
        <color theme="1"/>
        <rFont val="Times New Roman"/>
        <family val="1"/>
      </rPr>
      <t>In addition to the commodities listed, asphalt, clay, dolomite, gold, iron oxides, limestone, rolled steel, sand, crushed construction stone, and natron (soda ash) may have been produced, but available information was inadequate to make reliable estimates of output.</t>
    </r>
  </si>
  <si>
    <t>Natural gas, dry</t>
  </si>
  <si>
    <t xml:space="preserve">(Naffoura-Augila complex), and </t>
  </si>
  <si>
    <t>the Hamada</t>
  </si>
  <si>
    <t xml:space="preserve">Complex, the Magrid, NC–74, the Sarir, </t>
  </si>
  <si>
    <t>El Sharara (NC–115 and NC–186</t>
  </si>
  <si>
    <t>oilfields), and the Zawiya oilfields</t>
  </si>
  <si>
    <t>Mellitah, and the Zliten</t>
  </si>
  <si>
    <t xml:space="preserve">Libyan Fertilizer Co. (LIFECO) [National Oil Corp. </t>
  </si>
  <si>
    <t xml:space="preserve">(NOC), 75%, and Libyan Investment Authority, </t>
  </si>
  <si>
    <t>25%]</t>
  </si>
  <si>
    <t>2 plants at Marsa al Brega</t>
  </si>
  <si>
    <t>Al-Ahlia Cement Co. (ACC) (National Investment</t>
  </si>
  <si>
    <t>Co., 65.39%; Economic and Social Development</t>
  </si>
  <si>
    <t>Fund, 24.12%; limited income families, 8.58%;</t>
  </si>
  <si>
    <t>others, 1.91%)</t>
  </si>
  <si>
    <t>Plant at Al Khums, El Margueb</t>
  </si>
  <si>
    <t>District</t>
  </si>
  <si>
    <t>Al Ahlia Cement Co. (ACC) (National Investment</t>
  </si>
  <si>
    <t xml:space="preserve">Fund, 24.12%; limited income families, 8.58%; </t>
  </si>
  <si>
    <t>the borders with Algeria, Chad,</t>
  </si>
  <si>
    <t>Egypt, and Sudan</t>
  </si>
  <si>
    <t>El Margueb District</t>
  </si>
  <si>
    <t>(NOC), 50%, and Eni S.p.A., 50%]</t>
  </si>
  <si>
    <t>the Samah, and the Waha</t>
  </si>
  <si>
    <t xml:space="preserve">The Al Hatibh, the Al Iradal, the Al </t>
  </si>
  <si>
    <t xml:space="preserve">Istiklal, the Al Muqbel, the Asurah, </t>
  </si>
  <si>
    <t>and the Shimal Al Rashad oilfields</t>
  </si>
  <si>
    <t>Plant at Mellitah for Sabartha</t>
  </si>
  <si>
    <t>Platform, offshore</t>
  </si>
  <si>
    <t>(Naffoura-Augila complex), the</t>
  </si>
  <si>
    <t>the Sarir, and the Sinoun</t>
  </si>
  <si>
    <t>Oilfields include the Amal, the En</t>
  </si>
  <si>
    <t xml:space="preserve">Naga, the Farigh (Area 107), the </t>
  </si>
  <si>
    <t>Ghani, the Jorfra, and the Tibisti</t>
  </si>
  <si>
    <t>Oilfields include the As-Sarah, the</t>
  </si>
  <si>
    <t xml:space="preserve">the Nakhla (C97) </t>
  </si>
  <si>
    <t xml:space="preserve">Hamid, the Jakhira b (C96), and </t>
  </si>
  <si>
    <t>Al-Jurf (offshore) and Mabruk</t>
  </si>
  <si>
    <t>oilfields</t>
  </si>
  <si>
    <t>and the Wafa</t>
  </si>
  <si>
    <t>the El Feel, the NC–118, the Rimal,</t>
  </si>
  <si>
    <t>Arabian Gulf Oil Co. [National Oil Corp. (NOC),</t>
  </si>
  <si>
    <t>Brines at Sabkhet Karkourah in</t>
  </si>
  <si>
    <t>Bengazi</t>
  </si>
  <si>
    <t>Mellita Oil and Gas Complex,</t>
  </si>
  <si>
    <t>Sabratha</t>
  </si>
  <si>
    <t>General Company for Chemical Industries</t>
  </si>
  <si>
    <t>(Government, 100%)</t>
  </si>
  <si>
    <t>Hamada, the Magid, the Messla,</t>
  </si>
  <si>
    <t>Al Rashed, the Al Wadi, the</t>
  </si>
  <si>
    <t>59.2%, Conoco Phillips Co., 16.3%; Marathon</t>
  </si>
  <si>
    <t>the Intisar (103A, 103D), the 29C,</t>
  </si>
  <si>
    <t>Ras Lanuf Oil and Gas Processing Co. [National</t>
  </si>
  <si>
    <t>Oil Corp. (NOC), 100%]</t>
  </si>
  <si>
    <t xml:space="preserve">88%, and OMV A.G., Repsol YPF S.A., and </t>
  </si>
  <si>
    <t>Akakus Oil Operations [National Oil Corp. (NOC),</t>
  </si>
  <si>
    <t>Al Raguba, the Al Ralh, the</t>
  </si>
  <si>
    <t>Oilfields include the Al Laheeb, the</t>
  </si>
  <si>
    <t>Advance release</t>
  </si>
  <si>
    <t>This report will be included in the USGS Minerals Yearbook 2020–2021, volume III, Area Reports—International.</t>
  </si>
  <si>
    <t>This icon is linked to an embedded text document. Double-click on the icon to view the text document.</t>
  </si>
  <si>
    <t>First posted</t>
  </si>
  <si>
    <r>
      <t>The Mineral Industry of Libya in 2020</t>
    </r>
    <r>
      <rPr>
        <b/>
        <sz val="10"/>
        <rFont val="Calibri"/>
        <family val="2"/>
      </rPr>
      <t>–</t>
    </r>
    <r>
      <rPr>
        <b/>
        <sz val="10"/>
        <rFont val="Times New Roman"/>
        <family val="2"/>
      </rPr>
      <t>2021</t>
    </r>
  </si>
  <si>
    <t>This workbook includes an embedded Word document and two tables (see tabs below).</t>
  </si>
  <si>
    <t>Artisanal miners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</si>
</sst>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mmmm\ d\,\ yyyy;@"/>
  </numFmts>
  <fonts count="13" x14ac:knownFonts="1">
    <font>
      <sz val="10"/>
      <color rgb="FF000000"/>
      <name val="Arial"/>
    </font>
    <font>
      <sz val="10"/>
      <color rgb="FF000000"/>
      <name val="Arial"/>
      <family val="2"/>
    </font>
    <font>
      <sz val="8"/>
      <color theme="1"/>
      <name val="Times New Roman"/>
      <family val="1"/>
    </font>
    <font>
      <sz val="10"/>
      <color theme="1"/>
      <name val="Times New Roman"/>
      <family val="1"/>
    </font>
    <font>
      <vertAlign val="superscript"/>
      <sz val="8"/>
      <color theme="1"/>
      <name val="Times New Roman"/>
      <family val="1"/>
    </font>
    <font>
      <sz val="8"/>
      <color rgb="FF000000"/>
      <name val="Times New Roman"/>
      <family val="1"/>
    </font>
    <font>
      <sz val="8"/>
      <name val="Times New Roman"/>
      <family val="1"/>
    </font>
    <font>
      <sz val="10"/>
      <name val="Arial"/>
      <family val="2"/>
    </font>
    <font>
      <b/>
      <sz val="10"/>
      <color theme="1"/>
      <name val="Times New Roman"/>
      <family val="1"/>
    </font>
    <font>
      <sz val="10"/>
      <name val="Times New Roman"/>
      <family val="1"/>
    </font>
    <font>
      <b/>
      <sz val="10"/>
      <name val="Times New Roman"/>
      <family val="2"/>
    </font>
    <font>
      <b/>
      <sz val="10"/>
      <name val="Calibri"/>
      <family val="2"/>
    </font>
    <font>
      <sz val="10"/>
      <name val="Times New Roman"/>
      <family val="2"/>
    </font>
  </fonts>
  <fills count="2">
    <fill>
      <patternFill patternType="none"/>
    </fill>
    <fill>
      <patternFill patternType="gray125"/>
    </fill>
  </fills>
  <borders count="5">
    <border>
      <left/>
      <right/>
      <top/>
      <bottom/>
      <diagonal/>
    </border>
    <border>
      <left/>
      <right/>
      <top/>
      <bottom style="hair">
        <color indexed="64"/>
      </bottom>
      <diagonal/>
    </border>
    <border>
      <left/>
      <right/>
      <top style="hair">
        <color auto="1"/>
      </top>
      <bottom/>
      <diagonal/>
    </border>
    <border>
      <left/>
      <right/>
      <top style="hair">
        <color indexed="64"/>
      </top>
      <bottom style="hair">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140">
    <xf numFmtId="0" fontId="0" fillId="0" borderId="0" xfId="0" applyFont="1" applyAlignment="1"/>
    <xf numFmtId="0" fontId="3" fillId="0" borderId="0" xfId="0" applyFont="1" applyFill="1"/>
    <xf numFmtId="0" fontId="2" fillId="0" borderId="2" xfId="0" applyFont="1" applyFill="1" applyBorder="1" applyAlignment="1" applyProtection="1">
      <alignment horizontal="left" vertical="center"/>
    </xf>
    <xf numFmtId="0" fontId="2" fillId="0" borderId="0" xfId="0" applyFont="1" applyFill="1" applyBorder="1" applyAlignment="1" applyProtection="1">
      <alignment horizontal="left" vertical="center"/>
    </xf>
    <xf numFmtId="0" fontId="3" fillId="0" borderId="0" xfId="0" applyFont="1" applyFill="1" applyBorder="1"/>
    <xf numFmtId="0" fontId="2" fillId="0" borderId="1" xfId="0" applyFont="1" applyFill="1" applyBorder="1" applyAlignment="1" applyProtection="1">
      <alignment horizontal="left" vertical="center"/>
    </xf>
    <xf numFmtId="0" fontId="2" fillId="0" borderId="1" xfId="0" applyFont="1" applyFill="1" applyBorder="1" applyAlignment="1">
      <alignment horizontal="left" vertical="center"/>
    </xf>
    <xf numFmtId="49" fontId="6" fillId="0" borderId="0" xfId="0" applyNumberFormat="1" applyFont="1" applyFill="1" applyBorder="1" applyAlignment="1" applyProtection="1">
      <alignment horizontal="left" vertical="center"/>
    </xf>
    <xf numFmtId="0" fontId="7" fillId="0" borderId="0" xfId="0" applyFont="1" applyFill="1" applyAlignment="1"/>
    <xf numFmtId="0" fontId="4" fillId="0" borderId="0" xfId="0" applyFont="1" applyFill="1" applyBorder="1" applyAlignment="1">
      <alignment horizontal="left"/>
    </xf>
    <xf numFmtId="49" fontId="6" fillId="0" borderId="0" xfId="0" applyNumberFormat="1" applyFont="1" applyFill="1" applyBorder="1" applyAlignment="1">
      <alignment horizontal="left" vertical="center" indent="2"/>
    </xf>
    <xf numFmtId="49" fontId="6" fillId="0" borderId="1" xfId="0" applyNumberFormat="1" applyFont="1" applyFill="1" applyBorder="1" applyAlignment="1">
      <alignment horizontal="left" vertical="center" indent="2"/>
    </xf>
    <xf numFmtId="49" fontId="6" fillId="0" borderId="1" xfId="0" applyNumberFormat="1" applyFont="1" applyFill="1" applyBorder="1" applyAlignment="1" applyProtection="1">
      <alignment horizontal="left" vertical="center"/>
    </xf>
    <xf numFmtId="0" fontId="2" fillId="0" borderId="0" xfId="0" applyFont="1" applyFill="1" applyAlignment="1">
      <alignment vertical="center"/>
    </xf>
    <xf numFmtId="49" fontId="6" fillId="0" borderId="1" xfId="0" applyNumberFormat="1" applyFont="1" applyFill="1" applyBorder="1" applyAlignment="1" applyProtection="1">
      <alignment horizontal="left" vertical="center" indent="1"/>
    </xf>
    <xf numFmtId="2" fontId="2" fillId="0" borderId="0" xfId="0" applyNumberFormat="1" applyFont="1" applyFill="1" applyAlignment="1">
      <alignment vertical="center"/>
    </xf>
    <xf numFmtId="49" fontId="2" fillId="0" borderId="3" xfId="0" applyNumberFormat="1" applyFont="1" applyFill="1" applyBorder="1" applyAlignment="1">
      <alignment horizontal="right" vertical="center"/>
    </xf>
    <xf numFmtId="49" fontId="2" fillId="0" borderId="3" xfId="1" applyNumberFormat="1" applyFont="1" applyFill="1" applyBorder="1" applyAlignment="1">
      <alignment horizontal="right" vertical="center"/>
    </xf>
    <xf numFmtId="49" fontId="4" fillId="0" borderId="3" xfId="0" applyNumberFormat="1" applyFont="1" applyFill="1" applyBorder="1" applyAlignment="1">
      <alignment horizontal="left" vertical="center"/>
    </xf>
    <xf numFmtId="0" fontId="2" fillId="0" borderId="0" xfId="0" applyFont="1" applyFill="1" applyAlignment="1">
      <alignment horizontal="right" vertical="center"/>
    </xf>
    <xf numFmtId="164" fontId="2" fillId="0" borderId="0" xfId="1" applyNumberFormat="1" applyFont="1" applyFill="1" applyAlignment="1">
      <alignment horizontal="right"/>
    </xf>
    <xf numFmtId="0" fontId="4" fillId="0" borderId="0" xfId="0" applyFont="1" applyFill="1" applyAlignment="1">
      <alignment horizontal="left" vertical="center"/>
    </xf>
    <xf numFmtId="49" fontId="2" fillId="0" borderId="3" xfId="0" applyNumberFormat="1" applyFont="1" applyFill="1" applyBorder="1" applyAlignment="1">
      <alignment horizontal="left" vertical="center"/>
    </xf>
    <xf numFmtId="49" fontId="2" fillId="0" borderId="3" xfId="0" applyNumberFormat="1" applyFont="1" applyFill="1" applyBorder="1" applyAlignment="1">
      <alignment horizontal="left" vertical="center" indent="1"/>
    </xf>
    <xf numFmtId="3" fontId="2" fillId="0" borderId="0" xfId="1" applyNumberFormat="1" applyFont="1" applyFill="1" applyAlignment="1">
      <alignment horizontal="right" vertical="center"/>
    </xf>
    <xf numFmtId="49" fontId="2" fillId="0" borderId="0" xfId="0" applyNumberFormat="1" applyFont="1" applyFill="1" applyAlignment="1">
      <alignment horizontal="right" vertical="center"/>
    </xf>
    <xf numFmtId="3" fontId="2" fillId="0" borderId="4" xfId="1" applyNumberFormat="1" applyFont="1" applyFill="1" applyBorder="1" applyAlignment="1">
      <alignment horizontal="right" vertical="center"/>
    </xf>
    <xf numFmtId="49" fontId="4" fillId="0" borderId="4" xfId="0" applyNumberFormat="1" applyFont="1" applyFill="1" applyBorder="1" applyAlignment="1">
      <alignment horizontal="left" vertical="center"/>
    </xf>
    <xf numFmtId="49" fontId="2" fillId="0" borderId="3" xfId="0" applyNumberFormat="1" applyFont="1" applyFill="1" applyBorder="1" applyAlignment="1">
      <alignment horizontal="left" vertical="center" indent="2"/>
    </xf>
    <xf numFmtId="49" fontId="2" fillId="0" borderId="2" xfId="0" applyNumberFormat="1" applyFont="1" applyFill="1" applyBorder="1" applyAlignment="1">
      <alignment horizontal="left" vertical="center" indent="3"/>
    </xf>
    <xf numFmtId="49" fontId="2" fillId="0" borderId="2" xfId="0" applyNumberFormat="1" applyFont="1" applyFill="1" applyBorder="1" applyAlignment="1">
      <alignment horizontal="right" vertical="center"/>
    </xf>
    <xf numFmtId="3" fontId="2" fillId="0" borderId="3" xfId="1" applyNumberFormat="1" applyFont="1" applyFill="1" applyBorder="1" applyAlignment="1">
      <alignment horizontal="right" vertical="center"/>
    </xf>
    <xf numFmtId="0" fontId="2" fillId="0" borderId="0" xfId="0" applyFont="1" applyFill="1" applyAlignment="1">
      <alignment horizontal="left" vertical="center"/>
    </xf>
    <xf numFmtId="49" fontId="6" fillId="0" borderId="2" xfId="0" applyNumberFormat="1" applyFont="1" applyFill="1" applyBorder="1" applyAlignment="1" applyProtection="1">
      <alignment horizontal="left" vertical="center"/>
    </xf>
    <xf numFmtId="0" fontId="2" fillId="0" borderId="3" xfId="0" applyFont="1" applyFill="1" applyBorder="1" applyAlignment="1">
      <alignment horizontal="left" vertical="center" indent="1"/>
    </xf>
    <xf numFmtId="0" fontId="2" fillId="0" borderId="2" xfId="0" applyFont="1" applyFill="1" applyBorder="1" applyAlignment="1">
      <alignment horizontal="left" vertical="center" indent="1"/>
    </xf>
    <xf numFmtId="0" fontId="2" fillId="0" borderId="0" xfId="0" applyFont="1" applyFill="1" applyBorder="1" applyAlignment="1">
      <alignment horizontal="left" vertical="center" indent="2"/>
    </xf>
    <xf numFmtId="49" fontId="6" fillId="0" borderId="2" xfId="0" applyNumberFormat="1" applyFont="1" applyFill="1" applyBorder="1" applyAlignment="1">
      <alignment horizontal="left" vertical="center" indent="1"/>
    </xf>
    <xf numFmtId="49" fontId="2" fillId="0" borderId="2" xfId="0" applyNumberFormat="1" applyFont="1" applyFill="1" applyBorder="1" applyAlignment="1">
      <alignment horizontal="center" vertical="center"/>
    </xf>
    <xf numFmtId="0" fontId="2" fillId="0" borderId="1" xfId="0" applyFont="1" applyFill="1" applyBorder="1" applyAlignment="1">
      <alignment vertical="center"/>
    </xf>
    <xf numFmtId="0" fontId="2" fillId="0" borderId="0" xfId="0" applyFont="1" applyFill="1" applyBorder="1" applyAlignment="1">
      <alignment horizontal="center" vertical="center"/>
    </xf>
    <xf numFmtId="49" fontId="2" fillId="0" borderId="0" xfId="0" applyNumberFormat="1" applyFont="1" applyFill="1" applyBorder="1" applyAlignment="1">
      <alignment horizontal="center" vertical="center"/>
    </xf>
    <xf numFmtId="0" fontId="2" fillId="0" borderId="2" xfId="0" applyFont="1" applyFill="1" applyBorder="1" applyAlignment="1">
      <alignment horizontal="right" vertical="center"/>
    </xf>
    <xf numFmtId="49" fontId="2" fillId="0" borderId="2" xfId="0" applyNumberFormat="1" applyFont="1" applyFill="1" applyBorder="1" applyAlignment="1" applyProtection="1">
      <alignment horizontal="left" vertical="center"/>
    </xf>
    <xf numFmtId="3" fontId="2" fillId="0" borderId="2" xfId="0" applyNumberFormat="1" applyFont="1" applyFill="1" applyBorder="1" applyAlignment="1">
      <alignment horizontal="right" vertical="center"/>
    </xf>
    <xf numFmtId="0" fontId="2" fillId="0" borderId="1" xfId="0" applyFont="1" applyFill="1" applyBorder="1" applyAlignment="1">
      <alignment horizontal="left" vertical="center" indent="1"/>
    </xf>
    <xf numFmtId="0" fontId="2" fillId="0" borderId="1" xfId="0" applyFont="1" applyFill="1" applyBorder="1" applyAlignment="1">
      <alignment horizontal="right" vertical="center"/>
    </xf>
    <xf numFmtId="49" fontId="2" fillId="0" borderId="1" xfId="0" applyNumberFormat="1" applyFont="1" applyFill="1" applyBorder="1" applyAlignment="1" applyProtection="1">
      <alignment horizontal="left" vertical="center" indent="1"/>
    </xf>
    <xf numFmtId="3" fontId="2" fillId="0" borderId="1" xfId="0" applyNumberFormat="1" applyFont="1" applyFill="1" applyBorder="1" applyAlignment="1">
      <alignment horizontal="right" vertical="center"/>
    </xf>
    <xf numFmtId="0" fontId="2" fillId="0" borderId="0" xfId="0" applyFont="1" applyFill="1" applyBorder="1" applyAlignment="1">
      <alignment vertical="center"/>
    </xf>
    <xf numFmtId="49" fontId="2" fillId="0" borderId="0" xfId="0" applyNumberFormat="1" applyFont="1" applyFill="1" applyBorder="1" applyAlignment="1" applyProtection="1">
      <alignment horizontal="left" vertical="center"/>
    </xf>
    <xf numFmtId="0" fontId="2" fillId="0" borderId="0" xfId="0" applyFont="1" applyFill="1" applyBorder="1" applyAlignment="1">
      <alignment horizontal="left" vertical="center"/>
    </xf>
    <xf numFmtId="3" fontId="2" fillId="0" borderId="0" xfId="0" applyNumberFormat="1" applyFont="1" applyFill="1" applyBorder="1" applyAlignment="1">
      <alignment horizontal="right" vertical="center"/>
    </xf>
    <xf numFmtId="0" fontId="2" fillId="0" borderId="0" xfId="0" applyFont="1" applyFill="1" applyBorder="1" applyAlignment="1">
      <alignment horizontal="left" vertical="center" indent="1"/>
    </xf>
    <xf numFmtId="49" fontId="2" fillId="0" borderId="0" xfId="0" applyNumberFormat="1" applyFont="1" applyFill="1" applyBorder="1" applyAlignment="1" applyProtection="1">
      <alignment horizontal="left" vertical="center" indent="1"/>
    </xf>
    <xf numFmtId="3" fontId="2" fillId="0" borderId="0" xfId="0" applyNumberFormat="1" applyFont="1" applyFill="1" applyBorder="1" applyAlignment="1">
      <alignment horizontal="left" vertical="center" indent="1"/>
    </xf>
    <xf numFmtId="0" fontId="2" fillId="0" borderId="3" xfId="0" applyFont="1" applyFill="1" applyBorder="1" applyAlignment="1">
      <alignment vertical="center"/>
    </xf>
    <xf numFmtId="49" fontId="2" fillId="0" borderId="3" xfId="0" applyNumberFormat="1" applyFont="1" applyFill="1" applyBorder="1" applyAlignment="1">
      <alignment vertical="center"/>
    </xf>
    <xf numFmtId="3" fontId="2" fillId="0" borderId="3" xfId="0" applyNumberFormat="1" applyFont="1" applyFill="1" applyBorder="1" applyAlignment="1">
      <alignment horizontal="right" vertical="center"/>
    </xf>
    <xf numFmtId="49" fontId="2" fillId="0" borderId="2" xfId="0" applyNumberFormat="1" applyFont="1" applyFill="1" applyBorder="1" applyAlignment="1">
      <alignment horizontal="left" vertical="center" indent="1"/>
    </xf>
    <xf numFmtId="49" fontId="2" fillId="0" borderId="1" xfId="0" applyNumberFormat="1" applyFont="1" applyFill="1" applyBorder="1" applyAlignment="1">
      <alignment horizontal="left" vertical="center" indent="1"/>
    </xf>
    <xf numFmtId="49" fontId="2" fillId="0" borderId="3" xfId="0" applyNumberFormat="1" applyFont="1" applyFill="1" applyBorder="1" applyAlignment="1" applyProtection="1">
      <alignment horizontal="left" vertical="center" indent="1"/>
    </xf>
    <xf numFmtId="49" fontId="2" fillId="0" borderId="0" xfId="0" applyNumberFormat="1" applyFont="1" applyFill="1" applyBorder="1" applyAlignment="1">
      <alignment vertical="center"/>
    </xf>
    <xf numFmtId="49" fontId="2" fillId="0" borderId="1" xfId="0" applyNumberFormat="1" applyFont="1" applyFill="1" applyBorder="1" applyAlignment="1">
      <alignment vertical="center"/>
    </xf>
    <xf numFmtId="49" fontId="2" fillId="0" borderId="3" xfId="0" applyNumberFormat="1" applyFont="1" applyFill="1" applyBorder="1" applyAlignment="1" applyProtection="1">
      <alignment horizontal="left" vertical="center"/>
    </xf>
    <xf numFmtId="49" fontId="2" fillId="0" borderId="1" xfId="0" applyNumberFormat="1" applyFont="1" applyFill="1" applyBorder="1" applyAlignment="1" applyProtection="1">
      <alignment horizontal="left" vertical="center"/>
    </xf>
    <xf numFmtId="49" fontId="2" fillId="0" borderId="3" xfId="0" applyNumberFormat="1" applyFont="1" applyFill="1" applyBorder="1" applyAlignment="1">
      <alignment horizontal="left" vertical="center" indent="3"/>
    </xf>
    <xf numFmtId="49" fontId="6" fillId="0" borderId="2" xfId="0" applyNumberFormat="1" applyFont="1" applyFill="1" applyBorder="1" applyAlignment="1">
      <alignment horizontal="left" vertical="center"/>
    </xf>
    <xf numFmtId="49" fontId="6" fillId="0" borderId="0" xfId="0" applyNumberFormat="1" applyFont="1" applyFill="1" applyBorder="1" applyAlignment="1">
      <alignment horizontal="right" vertical="center"/>
    </xf>
    <xf numFmtId="49" fontId="6" fillId="0" borderId="0" xfId="0" applyNumberFormat="1" applyFont="1" applyFill="1" applyBorder="1" applyAlignment="1">
      <alignment vertical="center"/>
    </xf>
    <xf numFmtId="49" fontId="6" fillId="0" borderId="0" xfId="0" applyNumberFormat="1" applyFont="1" applyFill="1" applyBorder="1" applyAlignment="1">
      <alignment horizontal="left" vertical="center"/>
    </xf>
    <xf numFmtId="0" fontId="6" fillId="0" borderId="0" xfId="0" applyFont="1" applyFill="1" applyBorder="1" applyAlignment="1">
      <alignment vertical="center"/>
    </xf>
    <xf numFmtId="3" fontId="6" fillId="0" borderId="0" xfId="0" applyNumberFormat="1" applyFont="1" applyFill="1" applyBorder="1" applyAlignment="1">
      <alignment horizontal="right" vertical="center"/>
    </xf>
    <xf numFmtId="49" fontId="6" fillId="0" borderId="0" xfId="0" applyNumberFormat="1" applyFont="1" applyFill="1" applyBorder="1" applyAlignment="1">
      <alignment horizontal="left" vertical="center" indent="1"/>
    </xf>
    <xf numFmtId="49" fontId="6" fillId="0" borderId="1" xfId="0" applyNumberFormat="1" applyFont="1" applyFill="1" applyBorder="1" applyAlignment="1">
      <alignment horizontal="left" vertical="center" indent="1"/>
    </xf>
    <xf numFmtId="49" fontId="6" fillId="0" borderId="2" xfId="0" applyNumberFormat="1" applyFont="1" applyFill="1" applyBorder="1" applyAlignment="1">
      <alignment horizontal="right" vertical="center"/>
    </xf>
    <xf numFmtId="49" fontId="6" fillId="0" borderId="2" xfId="0" applyNumberFormat="1" applyFont="1" applyFill="1" applyBorder="1" applyAlignment="1">
      <alignment vertical="center"/>
    </xf>
    <xf numFmtId="0" fontId="6" fillId="0" borderId="2" xfId="0" applyFont="1" applyFill="1" applyBorder="1" applyAlignment="1">
      <alignment vertical="center"/>
    </xf>
    <xf numFmtId="3" fontId="6" fillId="0" borderId="2" xfId="0" applyNumberFormat="1" applyFont="1" applyFill="1" applyBorder="1" applyAlignment="1">
      <alignment horizontal="right" vertical="center"/>
    </xf>
    <xf numFmtId="49" fontId="6" fillId="0" borderId="1" xfId="0" applyNumberFormat="1" applyFont="1" applyFill="1" applyBorder="1" applyAlignment="1">
      <alignment horizontal="right" vertical="center"/>
    </xf>
    <xf numFmtId="49" fontId="6" fillId="0" borderId="1" xfId="0" applyNumberFormat="1" applyFont="1" applyFill="1" applyBorder="1" applyAlignment="1">
      <alignment vertical="center"/>
    </xf>
    <xf numFmtId="0" fontId="6" fillId="0" borderId="1" xfId="0" applyFont="1" applyFill="1" applyBorder="1" applyAlignment="1">
      <alignment vertical="center"/>
    </xf>
    <xf numFmtId="3" fontId="6" fillId="0" borderId="1" xfId="0" applyNumberFormat="1" applyFont="1" applyFill="1" applyBorder="1" applyAlignment="1">
      <alignment horizontal="right" vertical="center"/>
    </xf>
    <xf numFmtId="49" fontId="6" fillId="0" borderId="0" xfId="0" applyNumberFormat="1" applyFont="1" applyFill="1" applyBorder="1" applyAlignment="1">
      <alignment horizontal="right" vertical="center" readingOrder="1"/>
    </xf>
    <xf numFmtId="0" fontId="6" fillId="0" borderId="0" xfId="0" applyFont="1" applyFill="1" applyBorder="1" applyAlignment="1">
      <alignment horizontal="left" vertical="center"/>
    </xf>
    <xf numFmtId="49" fontId="6" fillId="0" borderId="1" xfId="0" applyNumberFormat="1" applyFont="1" applyFill="1" applyBorder="1" applyAlignment="1">
      <alignment horizontal="right" vertical="center" readingOrder="1"/>
    </xf>
    <xf numFmtId="49" fontId="6" fillId="0" borderId="1" xfId="0" applyNumberFormat="1" applyFont="1" applyFill="1" applyBorder="1" applyAlignment="1">
      <alignment horizontal="left" vertical="center"/>
    </xf>
    <xf numFmtId="0" fontId="6" fillId="0" borderId="1" xfId="0" applyFont="1" applyFill="1" applyBorder="1" applyAlignment="1">
      <alignment horizontal="left" vertical="center"/>
    </xf>
    <xf numFmtId="49" fontId="2" fillId="0" borderId="0" xfId="0" applyNumberFormat="1" applyFont="1" applyFill="1" applyBorder="1" applyAlignment="1">
      <alignment horizontal="left" vertical="center" indent="1"/>
    </xf>
    <xf numFmtId="49" fontId="2" fillId="0" borderId="2" xfId="0" applyNumberFormat="1" applyFont="1" applyFill="1" applyBorder="1" applyAlignment="1">
      <alignment horizontal="left" vertical="center" indent="1" shrinkToFit="1"/>
    </xf>
    <xf numFmtId="0" fontId="2" fillId="0" borderId="0" xfId="0" applyFont="1" applyFill="1" applyBorder="1" applyAlignment="1">
      <alignment horizontal="right" vertical="center"/>
    </xf>
    <xf numFmtId="0" fontId="2" fillId="0" borderId="0" xfId="0" applyFont="1" applyFill="1" applyBorder="1" applyAlignment="1">
      <alignment horizontal="left" vertical="center" shrinkToFit="1"/>
    </xf>
    <xf numFmtId="49" fontId="2" fillId="0" borderId="0" xfId="0" applyNumberFormat="1" applyFont="1" applyFill="1" applyBorder="1" applyAlignment="1">
      <alignment horizontal="right" vertical="center"/>
    </xf>
    <xf numFmtId="49" fontId="2" fillId="0" borderId="2" xfId="0" applyNumberFormat="1" applyFont="1" applyFill="1" applyBorder="1" applyAlignment="1">
      <alignment horizontal="left" vertical="center" indent="2"/>
    </xf>
    <xf numFmtId="49" fontId="2" fillId="0" borderId="0" xfId="0" applyNumberFormat="1" applyFont="1" applyFill="1" applyBorder="1" applyAlignment="1">
      <alignment horizontal="left" vertical="center" indent="2"/>
    </xf>
    <xf numFmtId="0" fontId="2" fillId="0" borderId="1" xfId="0" applyFont="1" applyFill="1" applyBorder="1" applyAlignment="1">
      <alignment horizontal="left" vertical="center" indent="2"/>
    </xf>
    <xf numFmtId="0" fontId="2" fillId="0" borderId="3" xfId="0" applyFont="1" applyFill="1" applyBorder="1" applyAlignment="1">
      <alignment horizontal="right" vertical="center"/>
    </xf>
    <xf numFmtId="3" fontId="2" fillId="0" borderId="0" xfId="0" applyNumberFormat="1" applyFont="1" applyFill="1" applyBorder="1" applyAlignment="1">
      <alignment horizontal="left" vertical="center"/>
    </xf>
    <xf numFmtId="49" fontId="5" fillId="0" borderId="2" xfId="0" applyNumberFormat="1" applyFont="1" applyFill="1" applyBorder="1" applyAlignment="1">
      <alignment vertical="center"/>
    </xf>
    <xf numFmtId="49" fontId="5" fillId="0" borderId="1" xfId="0" applyNumberFormat="1" applyFont="1" applyFill="1" applyBorder="1" applyAlignment="1">
      <alignment horizontal="left" vertical="center" indent="1"/>
    </xf>
    <xf numFmtId="49" fontId="5" fillId="0" borderId="1" xfId="0" applyNumberFormat="1" applyFont="1" applyFill="1" applyBorder="1" applyAlignment="1">
      <alignment horizontal="left" vertical="center"/>
    </xf>
    <xf numFmtId="49" fontId="2" fillId="0" borderId="0" xfId="0" applyNumberFormat="1" applyFont="1" applyFill="1" applyAlignment="1">
      <alignment vertical="center"/>
    </xf>
    <xf numFmtId="49" fontId="5" fillId="0" borderId="3" xfId="0" applyNumberFormat="1" applyFont="1" applyFill="1" applyBorder="1" applyAlignment="1">
      <alignment horizontal="left" vertical="center"/>
    </xf>
    <xf numFmtId="164" fontId="2" fillId="0" borderId="0" xfId="1" applyNumberFormat="1" applyFont="1" applyFill="1" applyAlignment="1">
      <alignment horizontal="right" vertical="center"/>
    </xf>
    <xf numFmtId="0" fontId="3" fillId="0" borderId="0" xfId="0" applyFont="1" applyFill="1"/>
    <xf numFmtId="0" fontId="3" fillId="0" borderId="0" xfId="0" applyFont="1" applyFill="1"/>
    <xf numFmtId="49" fontId="2" fillId="0" borderId="0" xfId="0" applyNumberFormat="1" applyFont="1" applyFill="1" applyBorder="1" applyAlignment="1">
      <alignment horizontal="left" vertical="center"/>
    </xf>
    <xf numFmtId="49" fontId="2" fillId="0" borderId="1" xfId="0" applyNumberFormat="1" applyFont="1" applyFill="1" applyBorder="1" applyAlignment="1">
      <alignment horizontal="right" vertical="center"/>
    </xf>
    <xf numFmtId="49" fontId="5" fillId="0" borderId="2" xfId="0" applyNumberFormat="1" applyFont="1" applyFill="1" applyBorder="1" applyAlignment="1">
      <alignment horizontal="left" vertical="center"/>
    </xf>
    <xf numFmtId="0" fontId="2" fillId="0" borderId="1" xfId="0" applyFont="1" applyFill="1" applyBorder="1" applyAlignment="1">
      <alignment horizontal="center" vertical="center"/>
    </xf>
    <xf numFmtId="49" fontId="4" fillId="0" borderId="0" xfId="0" applyNumberFormat="1" applyFont="1" applyFill="1" applyAlignment="1">
      <alignment horizontal="left" vertical="center"/>
    </xf>
    <xf numFmtId="49" fontId="2" fillId="0" borderId="1" xfId="0" applyNumberFormat="1" applyFont="1" applyFill="1" applyBorder="1" applyAlignment="1">
      <alignment horizontal="center" vertical="center"/>
    </xf>
    <xf numFmtId="49" fontId="2" fillId="0" borderId="3" xfId="0" applyNumberFormat="1" applyFont="1" applyFill="1" applyBorder="1" applyAlignment="1">
      <alignment horizontal="center" vertical="center"/>
    </xf>
    <xf numFmtId="0" fontId="2" fillId="0" borderId="2" xfId="0" applyFont="1" applyFill="1" applyBorder="1" applyAlignment="1">
      <alignment vertical="center"/>
    </xf>
    <xf numFmtId="49" fontId="2" fillId="0" borderId="2" xfId="0" applyNumberFormat="1" applyFont="1" applyFill="1" applyBorder="1" applyAlignment="1">
      <alignment horizontal="left" vertical="center"/>
    </xf>
    <xf numFmtId="0" fontId="2" fillId="0" borderId="2" xfId="0" applyFont="1" applyFill="1" applyBorder="1" applyAlignment="1">
      <alignment horizontal="left" vertical="center"/>
    </xf>
    <xf numFmtId="49" fontId="2" fillId="0" borderId="2" xfId="0" applyNumberFormat="1" applyFont="1" applyFill="1" applyBorder="1" applyAlignment="1">
      <alignment vertical="center"/>
    </xf>
    <xf numFmtId="0" fontId="0" fillId="0" borderId="0" xfId="0"/>
    <xf numFmtId="0" fontId="8" fillId="0" borderId="0" xfId="0" applyFont="1"/>
    <xf numFmtId="0" fontId="9" fillId="0" borderId="0" xfId="0" applyFont="1"/>
    <xf numFmtId="0" fontId="10" fillId="0" borderId="0" xfId="0" applyFont="1"/>
    <xf numFmtId="0" fontId="12" fillId="0" borderId="0" xfId="0" applyFont="1"/>
    <xf numFmtId="165" fontId="6" fillId="0" borderId="0" xfId="0" applyNumberFormat="1" applyFont="1"/>
    <xf numFmtId="0" fontId="9" fillId="0" borderId="0" xfId="0" applyFont="1"/>
    <xf numFmtId="49" fontId="4" fillId="0" borderId="0" xfId="0" applyNumberFormat="1" applyFont="1" applyFill="1" applyAlignment="1">
      <alignment horizontal="left" vertical="center"/>
    </xf>
    <xf numFmtId="49" fontId="4" fillId="0" borderId="2" xfId="0" applyNumberFormat="1" applyFont="1" applyFill="1" applyBorder="1" applyAlignment="1">
      <alignment horizontal="left" vertical="center"/>
    </xf>
    <xf numFmtId="49" fontId="4" fillId="0" borderId="0" xfId="0" applyNumberFormat="1" applyFont="1" applyFill="1" applyAlignment="1">
      <alignment vertical="center" wrapText="1"/>
    </xf>
    <xf numFmtId="49" fontId="2" fillId="0" borderId="0" xfId="0" applyNumberFormat="1" applyFont="1" applyFill="1" applyAlignment="1">
      <alignment horizontal="center" vertical="center"/>
    </xf>
    <xf numFmtId="49" fontId="2" fillId="0" borderId="1" xfId="0" applyNumberFormat="1" applyFont="1" applyFill="1" applyBorder="1" applyAlignment="1">
      <alignment horizontal="center" vertical="center"/>
    </xf>
    <xf numFmtId="49" fontId="2" fillId="0" borderId="3" xfId="0" applyNumberFormat="1" applyFont="1" applyFill="1" applyBorder="1" applyAlignment="1">
      <alignment horizontal="center" vertical="center"/>
    </xf>
    <xf numFmtId="49" fontId="2" fillId="0" borderId="2" xfId="0" applyNumberFormat="1" applyFont="1" applyFill="1" applyBorder="1" applyAlignment="1">
      <alignment vertical="center"/>
    </xf>
    <xf numFmtId="0" fontId="2" fillId="0" borderId="2" xfId="0" applyFont="1" applyFill="1" applyBorder="1" applyAlignment="1">
      <alignment vertical="center"/>
    </xf>
    <xf numFmtId="0" fontId="2" fillId="0" borderId="0" xfId="0" applyFont="1" applyFill="1" applyAlignment="1">
      <alignment horizontal="center" vertical="center"/>
    </xf>
    <xf numFmtId="49" fontId="2" fillId="0" borderId="1" xfId="1" applyNumberFormat="1" applyFont="1" applyFill="1" applyBorder="1" applyAlignment="1">
      <alignment horizontal="right" vertical="center"/>
    </xf>
    <xf numFmtId="164" fontId="2" fillId="0" borderId="1" xfId="1" applyNumberFormat="1" applyFont="1" applyFill="1" applyBorder="1" applyAlignment="1">
      <alignment horizontal="right" vertical="center"/>
    </xf>
    <xf numFmtId="49" fontId="2" fillId="0" borderId="2" xfId="0" applyNumberFormat="1" applyFont="1" applyFill="1" applyBorder="1" applyAlignment="1">
      <alignment horizontal="left" vertical="center"/>
    </xf>
    <xf numFmtId="0" fontId="2" fillId="0" borderId="2" xfId="0" applyFont="1" applyFill="1" applyBorder="1" applyAlignment="1">
      <alignment horizontal="left" vertical="center"/>
    </xf>
    <xf numFmtId="0" fontId="5" fillId="0" borderId="0" xfId="0" applyFont="1" applyAlignment="1">
      <alignment horizontal="center" vertical="center"/>
    </xf>
    <xf numFmtId="49" fontId="2" fillId="0" borderId="0" xfId="0" applyNumberFormat="1" applyFont="1" applyFill="1" applyBorder="1" applyAlignment="1">
      <alignment horizontal="left" vertical="center"/>
    </xf>
    <xf numFmtId="0" fontId="0" fillId="0" borderId="0" xfId="0" applyFont="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1905</xdr:colOff>
      <xdr:row>3</xdr:row>
      <xdr:rowOff>57150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53565" cy="560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15</xdr:row>
          <xdr:rowOff>15240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6923-5978-45A2-953D-E5482E3F73C0}">
  <dimension ref="A1:H20"/>
  <sheetViews>
    <sheetView tabSelected="1" workbookViewId="0">
      <selection activeCell="A5" sqref="A5"/>
    </sheetView>
  </sheetViews>
  <sheetFormatPr defaultRowHeight="13.2" x14ac:dyDescent="0.25"/>
  <cols>
    <col min="1" max="1" width="27" customWidth="1"/>
    <col min="2" max="2" width="17.77734375" bestFit="1" customWidth="1"/>
    <col min="7" max="7" width="26.21875" customWidth="1"/>
  </cols>
  <sheetData>
    <row r="1" spans="1:8" x14ac:dyDescent="0.25">
      <c r="A1" s="117"/>
      <c r="B1" s="117"/>
      <c r="C1" s="117"/>
      <c r="D1" s="117"/>
      <c r="E1" s="117"/>
      <c r="F1" s="117"/>
      <c r="G1" s="117"/>
      <c r="H1" s="117"/>
    </row>
    <row r="2" spans="1:8" x14ac:dyDescent="0.25">
      <c r="A2" s="117"/>
      <c r="B2" s="117"/>
      <c r="C2" s="117"/>
      <c r="D2" s="117"/>
      <c r="E2" s="117"/>
      <c r="F2" s="117"/>
      <c r="G2" s="117"/>
      <c r="H2" s="117"/>
    </row>
    <row r="3" spans="1:8" x14ac:dyDescent="0.25">
      <c r="A3" s="117"/>
      <c r="B3" s="117"/>
      <c r="C3" s="117"/>
      <c r="D3" s="117"/>
      <c r="E3" s="117"/>
      <c r="F3" s="117"/>
      <c r="G3" s="117"/>
      <c r="H3" s="117"/>
    </row>
    <row r="4" spans="1:8" x14ac:dyDescent="0.25">
      <c r="A4" s="117"/>
      <c r="B4" s="117"/>
      <c r="C4" s="117"/>
      <c r="D4" s="117"/>
      <c r="E4" s="117"/>
      <c r="F4" s="117"/>
      <c r="G4" s="117"/>
      <c r="H4" s="117"/>
    </row>
    <row r="5" spans="1:8" x14ac:dyDescent="0.25">
      <c r="A5" s="118" t="s">
        <v>212</v>
      </c>
      <c r="B5" s="117"/>
      <c r="C5" s="117"/>
      <c r="D5" s="117"/>
      <c r="E5" s="117"/>
      <c r="F5" s="117"/>
      <c r="G5" s="117"/>
      <c r="H5" s="117"/>
    </row>
    <row r="6" spans="1:8" x14ac:dyDescent="0.25">
      <c r="A6" s="118"/>
      <c r="B6" s="117"/>
      <c r="C6" s="117"/>
      <c r="D6" s="117"/>
      <c r="E6" s="117"/>
      <c r="F6" s="117"/>
      <c r="G6" s="117"/>
      <c r="H6" s="117"/>
    </row>
    <row r="7" spans="1:8" x14ac:dyDescent="0.25">
      <c r="A7" s="123" t="s">
        <v>213</v>
      </c>
      <c r="B7" s="123"/>
      <c r="C7" s="123"/>
      <c r="D7" s="123"/>
      <c r="E7" s="123"/>
      <c r="F7" s="123"/>
      <c r="G7" s="123"/>
      <c r="H7" s="117"/>
    </row>
    <row r="8" spans="1:8" x14ac:dyDescent="0.25">
      <c r="A8" s="119"/>
      <c r="B8" s="117"/>
      <c r="C8" s="117"/>
      <c r="D8" s="117"/>
      <c r="E8" s="117"/>
      <c r="F8" s="117"/>
      <c r="G8" s="117"/>
      <c r="H8" s="117"/>
    </row>
    <row r="9" spans="1:8" ht="13.8" x14ac:dyDescent="0.3">
      <c r="A9" s="120" t="s">
        <v>216</v>
      </c>
      <c r="B9" s="117"/>
      <c r="C9" s="117"/>
      <c r="D9" s="117"/>
      <c r="E9" s="117"/>
      <c r="F9" s="117"/>
      <c r="G9" s="117"/>
      <c r="H9" s="117"/>
    </row>
    <row r="10" spans="1:8" x14ac:dyDescent="0.25">
      <c r="A10" s="121" t="s">
        <v>217</v>
      </c>
      <c r="B10" s="117"/>
      <c r="C10" s="117"/>
      <c r="D10" s="117"/>
      <c r="E10" s="117"/>
      <c r="F10" s="117"/>
      <c r="G10" s="117"/>
      <c r="H10" s="117"/>
    </row>
    <row r="11" spans="1:8" x14ac:dyDescent="0.25">
      <c r="A11" s="121"/>
      <c r="B11" s="117"/>
      <c r="C11" s="117"/>
      <c r="D11" s="117"/>
      <c r="E11" s="117"/>
      <c r="F11" s="117"/>
      <c r="G11" s="117"/>
      <c r="H11" s="117"/>
    </row>
    <row r="12" spans="1:8" x14ac:dyDescent="0.25">
      <c r="A12" s="121"/>
      <c r="B12" s="117"/>
      <c r="C12" s="117"/>
      <c r="D12" s="117"/>
      <c r="E12" s="117"/>
      <c r="F12" s="117"/>
      <c r="G12" s="117"/>
      <c r="H12" s="117"/>
    </row>
    <row r="13" spans="1:8" x14ac:dyDescent="0.25">
      <c r="A13" s="121"/>
      <c r="B13" s="117"/>
      <c r="C13" s="117"/>
      <c r="D13" s="117"/>
      <c r="E13" s="117"/>
      <c r="F13" s="117"/>
      <c r="G13" s="117"/>
      <c r="H13" s="117"/>
    </row>
    <row r="14" spans="1:8" x14ac:dyDescent="0.25">
      <c r="A14" s="121"/>
      <c r="B14" s="117"/>
      <c r="C14" s="117"/>
      <c r="D14" s="117"/>
      <c r="E14" s="117"/>
      <c r="F14" s="117"/>
      <c r="G14" s="117"/>
      <c r="H14" s="117"/>
    </row>
    <row r="15" spans="1:8" x14ac:dyDescent="0.25">
      <c r="A15" s="121"/>
      <c r="B15" s="117"/>
      <c r="C15" s="117"/>
      <c r="D15" s="117"/>
      <c r="E15" s="117"/>
      <c r="F15" s="117"/>
      <c r="G15" s="117"/>
      <c r="H15" s="117"/>
    </row>
    <row r="16" spans="1:8" x14ac:dyDescent="0.25">
      <c r="A16" s="121"/>
      <c r="B16" s="117"/>
      <c r="C16" s="117"/>
      <c r="D16" s="117"/>
      <c r="E16" s="117"/>
      <c r="F16" s="117"/>
      <c r="G16" s="117"/>
      <c r="H16" s="117"/>
    </row>
    <row r="17" spans="1:8" x14ac:dyDescent="0.25">
      <c r="A17" s="121"/>
      <c r="B17" s="117"/>
      <c r="C17" s="117"/>
      <c r="D17" s="117"/>
      <c r="E17" s="117"/>
      <c r="F17" s="117"/>
      <c r="G17" s="117"/>
      <c r="H17" s="117"/>
    </row>
    <row r="18" spans="1:8" x14ac:dyDescent="0.25">
      <c r="A18" s="121" t="s">
        <v>214</v>
      </c>
      <c r="B18" s="117"/>
      <c r="C18" s="117"/>
      <c r="D18" s="117"/>
      <c r="E18" s="117"/>
      <c r="F18" s="117"/>
      <c r="G18" s="117"/>
      <c r="H18" s="117"/>
    </row>
    <row r="19" spans="1:8" x14ac:dyDescent="0.25">
      <c r="A19" s="117"/>
      <c r="B19" s="122"/>
      <c r="C19" s="117"/>
      <c r="D19" s="117"/>
      <c r="E19" s="117"/>
      <c r="F19" s="117"/>
      <c r="G19" s="117"/>
      <c r="H19" s="117"/>
    </row>
    <row r="20" spans="1:8" x14ac:dyDescent="0.25">
      <c r="A20" s="121" t="s">
        <v>215</v>
      </c>
      <c r="B20" s="122">
        <v>45678</v>
      </c>
      <c r="C20" s="117"/>
      <c r="D20" s="117"/>
      <c r="E20" s="117"/>
      <c r="F20" s="117"/>
      <c r="G20" s="117"/>
      <c r="H20" s="117"/>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15</xdr:row>
                <xdr:rowOff>15240</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38"/>
  <sheetViews>
    <sheetView zoomScaleNormal="100" workbookViewId="0">
      <selection sqref="A1:N1"/>
    </sheetView>
  </sheetViews>
  <sheetFormatPr defaultColWidth="8.6640625" defaultRowHeight="12.6" x14ac:dyDescent="0.2"/>
  <cols>
    <col min="1" max="1" width="22.44140625" style="32" customWidth="1"/>
    <col min="2" max="2" width="15.88671875" style="19" customWidth="1"/>
    <col min="3" max="3" width="1.6640625" style="19" customWidth="1"/>
    <col min="4" max="4" width="1.5546875" style="19" customWidth="1"/>
    <col min="5" max="5" width="8.33203125" style="20" customWidth="1"/>
    <col min="6" max="6" width="1.5546875" style="21" customWidth="1"/>
    <col min="7" max="7" width="8.33203125" style="20" customWidth="1"/>
    <col min="8" max="8" width="2.5546875" style="21" customWidth="1"/>
    <col min="9" max="9" width="8.33203125" style="20" customWidth="1"/>
    <col min="10" max="10" width="2.5546875" style="21" customWidth="1"/>
    <col min="11" max="11" width="8.33203125" style="20" customWidth="1"/>
    <col min="12" max="12" width="1.5546875" style="21" customWidth="1"/>
    <col min="13" max="13" width="8.33203125" style="20" customWidth="1"/>
    <col min="14" max="14" width="1.5546875" style="21" customWidth="1"/>
    <col min="15" max="16" width="0" style="15" hidden="1" customWidth="1"/>
    <col min="17" max="16384" width="8.6640625" style="13"/>
  </cols>
  <sheetData>
    <row r="1" spans="1:16" ht="11.25" customHeight="1" x14ac:dyDescent="0.25">
      <c r="A1" s="127" t="s">
        <v>0</v>
      </c>
      <c r="B1" s="127"/>
      <c r="C1" s="127"/>
      <c r="D1" s="127"/>
      <c r="E1" s="127"/>
      <c r="F1" s="127"/>
      <c r="G1" s="127"/>
      <c r="H1" s="127"/>
      <c r="I1" s="127"/>
      <c r="J1" s="127"/>
      <c r="K1" s="127"/>
      <c r="L1" s="127"/>
      <c r="M1" s="127"/>
      <c r="N1" s="127"/>
    </row>
    <row r="2" spans="1:16" ht="12.45" customHeight="1" x14ac:dyDescent="0.25">
      <c r="A2" s="127" t="s">
        <v>1</v>
      </c>
      <c r="B2" s="127"/>
      <c r="C2" s="127"/>
      <c r="D2" s="127"/>
      <c r="E2" s="127"/>
      <c r="F2" s="127"/>
      <c r="G2" s="127"/>
      <c r="H2" s="127"/>
      <c r="I2" s="127"/>
      <c r="J2" s="127"/>
      <c r="K2" s="127"/>
      <c r="L2" s="127"/>
      <c r="M2" s="127"/>
      <c r="N2" s="127"/>
    </row>
    <row r="3" spans="1:16" ht="11.25" customHeight="1" x14ac:dyDescent="0.25">
      <c r="A3" s="127"/>
      <c r="B3" s="127"/>
      <c r="C3" s="127"/>
      <c r="D3" s="127"/>
      <c r="E3" s="127"/>
      <c r="F3" s="127"/>
      <c r="G3" s="127"/>
      <c r="H3" s="127"/>
      <c r="I3" s="127"/>
      <c r="J3" s="127"/>
      <c r="K3" s="127"/>
      <c r="L3" s="127"/>
      <c r="M3" s="127"/>
      <c r="N3" s="127"/>
    </row>
    <row r="4" spans="1:16" ht="11.25" customHeight="1" x14ac:dyDescent="0.25">
      <c r="A4" s="127" t="s">
        <v>2</v>
      </c>
      <c r="B4" s="127"/>
      <c r="C4" s="127"/>
      <c r="D4" s="127"/>
      <c r="E4" s="127"/>
      <c r="F4" s="127"/>
      <c r="G4" s="127"/>
      <c r="H4" s="127"/>
      <c r="I4" s="127"/>
      <c r="J4" s="127"/>
      <c r="K4" s="127"/>
      <c r="L4" s="127"/>
      <c r="M4" s="127"/>
      <c r="N4" s="127"/>
    </row>
    <row r="5" spans="1:16" ht="11.25" customHeight="1" x14ac:dyDescent="0.25">
      <c r="A5" s="128"/>
      <c r="B5" s="128"/>
      <c r="C5" s="128"/>
      <c r="D5" s="128"/>
      <c r="E5" s="128"/>
      <c r="F5" s="128"/>
      <c r="G5" s="128"/>
      <c r="H5" s="128"/>
      <c r="I5" s="128"/>
      <c r="J5" s="128"/>
      <c r="K5" s="128"/>
      <c r="L5" s="128"/>
      <c r="M5" s="128"/>
      <c r="N5" s="128"/>
    </row>
    <row r="6" spans="1:16" ht="12.6" customHeight="1" x14ac:dyDescent="0.25">
      <c r="A6" s="129" t="s">
        <v>3</v>
      </c>
      <c r="B6" s="129"/>
      <c r="C6" s="129"/>
      <c r="D6" s="16"/>
      <c r="E6" s="17">
        <v>2017</v>
      </c>
      <c r="F6" s="18"/>
      <c r="G6" s="17">
        <v>2018</v>
      </c>
      <c r="H6" s="18"/>
      <c r="I6" s="17">
        <v>2019</v>
      </c>
      <c r="J6" s="18"/>
      <c r="K6" s="17">
        <v>2020</v>
      </c>
      <c r="L6" s="18"/>
      <c r="M6" s="17">
        <v>2021</v>
      </c>
      <c r="N6" s="18"/>
      <c r="O6" s="13" t="s">
        <v>4</v>
      </c>
      <c r="P6" s="13" t="s">
        <v>5</v>
      </c>
    </row>
    <row r="7" spans="1:16" ht="11.25" customHeight="1" x14ac:dyDescent="0.25">
      <c r="A7" s="129" t="s">
        <v>6</v>
      </c>
      <c r="B7" s="129"/>
      <c r="C7" s="129"/>
      <c r="E7" s="103"/>
      <c r="G7" s="103"/>
      <c r="I7" s="103"/>
      <c r="K7" s="103"/>
      <c r="M7" s="103"/>
    </row>
    <row r="8" spans="1:16" ht="11.25" customHeight="1" x14ac:dyDescent="0.25">
      <c r="A8" s="22" t="s">
        <v>7</v>
      </c>
      <c r="B8" s="112"/>
      <c r="C8" s="112"/>
      <c r="E8" s="103"/>
      <c r="G8" s="103"/>
      <c r="I8" s="103"/>
      <c r="K8" s="103"/>
      <c r="M8" s="103"/>
    </row>
    <row r="9" spans="1:16" ht="11.25" customHeight="1" x14ac:dyDescent="0.25">
      <c r="A9" s="23" t="s">
        <v>8</v>
      </c>
      <c r="B9" s="16"/>
      <c r="C9" s="16"/>
      <c r="E9" s="24">
        <v>562</v>
      </c>
      <c r="F9" s="110"/>
      <c r="G9" s="24">
        <v>612</v>
      </c>
      <c r="H9" s="110"/>
      <c r="I9" s="24">
        <v>880</v>
      </c>
      <c r="J9" s="110"/>
      <c r="K9" s="24">
        <v>796</v>
      </c>
      <c r="L9" s="110"/>
      <c r="M9" s="24">
        <v>861</v>
      </c>
      <c r="N9" s="110"/>
      <c r="O9" s="15">
        <f>(K9-I9)/I9*100</f>
        <v>-9.5500000000000007</v>
      </c>
      <c r="P9" s="15">
        <f>(M9-K9)/K9*100</f>
        <v>8.17</v>
      </c>
    </row>
    <row r="10" spans="1:16" ht="11.25" customHeight="1" x14ac:dyDescent="0.25">
      <c r="A10" s="23" t="s">
        <v>9</v>
      </c>
      <c r="B10" s="16"/>
      <c r="C10" s="16"/>
      <c r="E10" s="24">
        <v>485</v>
      </c>
      <c r="F10" s="110"/>
      <c r="G10" s="24">
        <v>396</v>
      </c>
      <c r="H10" s="110"/>
      <c r="I10" s="24">
        <v>606</v>
      </c>
      <c r="J10" s="110"/>
      <c r="K10" s="24">
        <v>495</v>
      </c>
      <c r="L10" s="110"/>
      <c r="M10" s="24">
        <v>662</v>
      </c>
      <c r="N10" s="110"/>
      <c r="O10" s="15">
        <f t="shared" ref="O10:O33" si="0">(K10-I10)/I10*100</f>
        <v>-18.32</v>
      </c>
      <c r="P10" s="15">
        <f t="shared" ref="P10:P34" si="1">(M10-K10)/K10*100</f>
        <v>33.74</v>
      </c>
    </row>
    <row r="11" spans="1:16" ht="11.25" customHeight="1" x14ac:dyDescent="0.25">
      <c r="A11" s="129" t="s">
        <v>10</v>
      </c>
      <c r="B11" s="129"/>
      <c r="C11" s="129"/>
      <c r="E11" s="24"/>
      <c r="F11" s="110"/>
      <c r="G11" s="24"/>
      <c r="H11" s="110"/>
      <c r="I11" s="24"/>
      <c r="J11" s="110"/>
      <c r="K11" s="24"/>
      <c r="L11" s="110"/>
      <c r="M11" s="24"/>
      <c r="N11" s="110"/>
    </row>
    <row r="12" spans="1:16" ht="11.25" customHeight="1" x14ac:dyDescent="0.25">
      <c r="A12" s="22" t="s">
        <v>11</v>
      </c>
      <c r="B12" s="16"/>
      <c r="C12" s="16"/>
      <c r="E12" s="24">
        <v>4500</v>
      </c>
      <c r="F12" s="110"/>
      <c r="G12" s="24">
        <v>4500</v>
      </c>
      <c r="H12" s="110"/>
      <c r="I12" s="24">
        <v>3600</v>
      </c>
      <c r="J12" s="110" t="s">
        <v>12</v>
      </c>
      <c r="K12" s="24">
        <v>3100</v>
      </c>
      <c r="L12" s="110" t="s">
        <v>13</v>
      </c>
      <c r="M12" s="24">
        <v>4100</v>
      </c>
      <c r="N12" s="110" t="s">
        <v>13</v>
      </c>
      <c r="O12" s="15">
        <f>(K12-I12)/I12*100</f>
        <v>-13.89</v>
      </c>
      <c r="P12" s="15">
        <f t="shared" si="1"/>
        <v>32.26</v>
      </c>
    </row>
    <row r="13" spans="1:16" ht="11.25" customHeight="1" x14ac:dyDescent="0.25">
      <c r="A13" s="22" t="s">
        <v>152</v>
      </c>
      <c r="B13" s="16"/>
      <c r="C13" s="16"/>
      <c r="E13" s="24">
        <v>225</v>
      </c>
      <c r="F13" s="110"/>
      <c r="G13" s="24">
        <v>225</v>
      </c>
      <c r="H13" s="110"/>
      <c r="I13" s="24">
        <v>210</v>
      </c>
      <c r="J13" s="110"/>
      <c r="K13" s="24">
        <v>200</v>
      </c>
      <c r="L13" s="110"/>
      <c r="M13" s="24">
        <v>250</v>
      </c>
      <c r="N13" s="110"/>
      <c r="O13" s="15">
        <f t="shared" si="0"/>
        <v>-4.76</v>
      </c>
      <c r="P13" s="15">
        <f t="shared" si="1"/>
        <v>25</v>
      </c>
    </row>
    <row r="14" spans="1:16" ht="12.6" customHeight="1" x14ac:dyDescent="0.25">
      <c r="A14" s="22" t="s">
        <v>14</v>
      </c>
      <c r="B14" s="16"/>
      <c r="C14" s="16"/>
      <c r="E14" s="24">
        <v>240</v>
      </c>
      <c r="F14" s="110"/>
      <c r="G14" s="24">
        <v>220</v>
      </c>
      <c r="H14" s="110"/>
      <c r="I14" s="24">
        <v>330</v>
      </c>
      <c r="J14" s="110"/>
      <c r="K14" s="24">
        <v>300</v>
      </c>
      <c r="L14" s="110"/>
      <c r="M14" s="24">
        <v>330</v>
      </c>
      <c r="N14" s="110"/>
      <c r="O14" s="15">
        <f t="shared" si="0"/>
        <v>-9.09</v>
      </c>
      <c r="P14" s="15">
        <f t="shared" si="1"/>
        <v>10</v>
      </c>
    </row>
    <row r="15" spans="1:16" ht="11.25" customHeight="1" x14ac:dyDescent="0.25">
      <c r="A15" s="22" t="s">
        <v>15</v>
      </c>
      <c r="B15" s="16"/>
      <c r="C15" s="16"/>
      <c r="E15" s="24"/>
      <c r="F15" s="110"/>
      <c r="G15" s="24"/>
      <c r="H15" s="110"/>
      <c r="I15" s="24"/>
      <c r="J15" s="110"/>
      <c r="K15" s="24"/>
      <c r="L15" s="110"/>
      <c r="M15" s="24"/>
      <c r="N15" s="110"/>
    </row>
    <row r="16" spans="1:16" ht="11.25" customHeight="1" x14ac:dyDescent="0.25">
      <c r="A16" s="23" t="s">
        <v>16</v>
      </c>
      <c r="B16" s="16"/>
      <c r="C16" s="16"/>
      <c r="E16" s="24">
        <v>205</v>
      </c>
      <c r="F16" s="110"/>
      <c r="G16" s="24">
        <v>177</v>
      </c>
      <c r="H16" s="110"/>
      <c r="I16" s="24">
        <v>90</v>
      </c>
      <c r="J16" s="110" t="s">
        <v>12</v>
      </c>
      <c r="K16" s="24">
        <v>25</v>
      </c>
      <c r="L16" s="110"/>
      <c r="M16" s="24">
        <v>25</v>
      </c>
      <c r="N16" s="110" t="s">
        <v>13</v>
      </c>
      <c r="O16" s="15">
        <f t="shared" si="0"/>
        <v>-72.22</v>
      </c>
      <c r="P16" s="15">
        <f t="shared" si="1"/>
        <v>0</v>
      </c>
    </row>
    <row r="17" spans="1:16" ht="11.25" customHeight="1" x14ac:dyDescent="0.25">
      <c r="A17" s="23" t="s">
        <v>17</v>
      </c>
      <c r="B17" s="16"/>
      <c r="C17" s="16"/>
      <c r="E17" s="24">
        <v>118</v>
      </c>
      <c r="F17" s="110"/>
      <c r="G17" s="24">
        <v>120</v>
      </c>
      <c r="H17" s="110"/>
      <c r="I17" s="24">
        <v>30</v>
      </c>
      <c r="J17" s="110" t="s">
        <v>18</v>
      </c>
      <c r="K17" s="24">
        <v>20</v>
      </c>
      <c r="L17" s="110" t="s">
        <v>13</v>
      </c>
      <c r="M17" s="24">
        <v>50</v>
      </c>
      <c r="N17" s="110" t="s">
        <v>13</v>
      </c>
      <c r="O17" s="15">
        <f t="shared" si="0"/>
        <v>-33.33</v>
      </c>
      <c r="P17" s="15">
        <f t="shared" si="1"/>
        <v>150</v>
      </c>
    </row>
    <row r="18" spans="1:16" ht="11.25" customHeight="1" x14ac:dyDescent="0.25">
      <c r="A18" s="22" t="s">
        <v>19</v>
      </c>
      <c r="B18" s="16"/>
      <c r="C18" s="16"/>
      <c r="E18" s="24">
        <v>40</v>
      </c>
      <c r="F18" s="110"/>
      <c r="G18" s="24">
        <v>50</v>
      </c>
      <c r="H18" s="110"/>
      <c r="I18" s="24">
        <v>100</v>
      </c>
      <c r="J18" s="110"/>
      <c r="K18" s="24">
        <v>200</v>
      </c>
      <c r="L18" s="110"/>
      <c r="M18" s="24">
        <v>200</v>
      </c>
      <c r="N18" s="110"/>
      <c r="O18" s="15">
        <f t="shared" si="0"/>
        <v>100</v>
      </c>
      <c r="P18" s="15">
        <f t="shared" si="1"/>
        <v>0</v>
      </c>
    </row>
    <row r="19" spans="1:16" ht="11.25" customHeight="1" x14ac:dyDescent="0.25">
      <c r="A19" s="22" t="s">
        <v>20</v>
      </c>
      <c r="B19" s="16"/>
      <c r="C19" s="16"/>
      <c r="E19" s="24">
        <v>133</v>
      </c>
      <c r="F19" s="110"/>
      <c r="G19" s="24">
        <v>130</v>
      </c>
      <c r="H19" s="110" t="s">
        <v>18</v>
      </c>
      <c r="I19" s="24">
        <v>100</v>
      </c>
      <c r="J19" s="110" t="s">
        <v>18</v>
      </c>
      <c r="K19" s="24">
        <v>100</v>
      </c>
      <c r="L19" s="110" t="s">
        <v>13</v>
      </c>
      <c r="M19" s="24">
        <v>100</v>
      </c>
      <c r="N19" s="110" t="s">
        <v>13</v>
      </c>
      <c r="O19" s="15">
        <f t="shared" si="0"/>
        <v>0</v>
      </c>
      <c r="P19" s="15">
        <f t="shared" si="1"/>
        <v>0</v>
      </c>
    </row>
    <row r="20" spans="1:16" ht="11.25" customHeight="1" x14ac:dyDescent="0.25">
      <c r="A20" s="129" t="s">
        <v>21</v>
      </c>
      <c r="B20" s="129"/>
      <c r="C20" s="129"/>
      <c r="E20" s="24"/>
      <c r="F20" s="110"/>
      <c r="G20" s="24"/>
      <c r="H20" s="110"/>
      <c r="I20" s="24"/>
      <c r="J20" s="110"/>
      <c r="K20" s="24"/>
      <c r="L20" s="110"/>
      <c r="M20" s="24"/>
      <c r="N20" s="110"/>
    </row>
    <row r="21" spans="1:16" ht="11.25" customHeight="1" x14ac:dyDescent="0.25">
      <c r="A21" s="22" t="s">
        <v>22</v>
      </c>
      <c r="B21" s="16"/>
      <c r="C21" s="16"/>
      <c r="E21" s="24">
        <v>130</v>
      </c>
      <c r="F21" s="110"/>
      <c r="G21" s="24">
        <v>30</v>
      </c>
      <c r="H21" s="110" t="s">
        <v>18</v>
      </c>
      <c r="I21" s="24">
        <v>100</v>
      </c>
      <c r="J21" s="110" t="s">
        <v>18</v>
      </c>
      <c r="K21" s="24">
        <v>100</v>
      </c>
      <c r="L21" s="110" t="s">
        <v>13</v>
      </c>
      <c r="M21" s="24">
        <v>100</v>
      </c>
      <c r="N21" s="110" t="s">
        <v>13</v>
      </c>
      <c r="O21" s="15">
        <f t="shared" si="0"/>
        <v>0</v>
      </c>
      <c r="P21" s="15">
        <f t="shared" si="1"/>
        <v>0</v>
      </c>
    </row>
    <row r="22" spans="1:16" ht="11.25" customHeight="1" x14ac:dyDescent="0.25">
      <c r="A22" s="22" t="s">
        <v>23</v>
      </c>
      <c r="B22" s="16"/>
      <c r="C22" s="16"/>
      <c r="E22" s="24"/>
      <c r="F22" s="110"/>
      <c r="G22" s="24"/>
      <c r="H22" s="110"/>
      <c r="I22" s="24"/>
      <c r="J22" s="110"/>
      <c r="K22" s="24"/>
      <c r="L22" s="110"/>
      <c r="M22" s="24"/>
      <c r="N22" s="110"/>
    </row>
    <row r="23" spans="1:16" ht="11.25" customHeight="1" x14ac:dyDescent="0.25">
      <c r="A23" s="23" t="s">
        <v>24</v>
      </c>
      <c r="B23" s="16"/>
      <c r="C23" s="16" t="s">
        <v>25</v>
      </c>
      <c r="E23" s="24">
        <v>24513</v>
      </c>
      <c r="F23" s="110"/>
      <c r="G23" s="24">
        <v>24167</v>
      </c>
      <c r="H23" s="110"/>
      <c r="I23" s="24">
        <v>18600</v>
      </c>
      <c r="J23" s="110" t="s">
        <v>12</v>
      </c>
      <c r="K23" s="24">
        <v>14600</v>
      </c>
      <c r="L23" s="110"/>
      <c r="M23" s="24">
        <v>17900</v>
      </c>
      <c r="N23" s="110"/>
      <c r="O23" s="15">
        <f t="shared" si="0"/>
        <v>-21.51</v>
      </c>
      <c r="P23" s="15">
        <f t="shared" si="1"/>
        <v>22.6</v>
      </c>
    </row>
    <row r="24" spans="1:16" ht="11.25" customHeight="1" x14ac:dyDescent="0.25">
      <c r="A24" s="23" t="s">
        <v>26</v>
      </c>
      <c r="B24" s="16"/>
      <c r="C24" s="16" t="s">
        <v>27</v>
      </c>
      <c r="E24" s="24">
        <v>13600</v>
      </c>
      <c r="F24" s="110" t="s">
        <v>12</v>
      </c>
      <c r="G24" s="24">
        <v>13200</v>
      </c>
      <c r="H24" s="110" t="s">
        <v>12</v>
      </c>
      <c r="I24" s="24">
        <v>13500</v>
      </c>
      <c r="J24" s="110" t="s">
        <v>12</v>
      </c>
      <c r="K24" s="24">
        <v>12100</v>
      </c>
      <c r="L24" s="110"/>
      <c r="M24" s="24">
        <v>12400</v>
      </c>
      <c r="N24" s="110"/>
      <c r="O24" s="15">
        <f t="shared" si="0"/>
        <v>-10.37</v>
      </c>
      <c r="P24" s="15">
        <f t="shared" si="1"/>
        <v>2.48</v>
      </c>
    </row>
    <row r="25" spans="1:16" ht="11.25" customHeight="1" x14ac:dyDescent="0.25">
      <c r="A25" s="22" t="s">
        <v>28</v>
      </c>
      <c r="B25" s="25"/>
      <c r="C25" s="25"/>
      <c r="E25" s="24"/>
      <c r="G25" s="24"/>
      <c r="I25" s="24"/>
      <c r="K25" s="24"/>
      <c r="M25" s="24"/>
    </row>
    <row r="26" spans="1:16" ht="11.25" customHeight="1" x14ac:dyDescent="0.25">
      <c r="A26" s="23" t="s">
        <v>29</v>
      </c>
      <c r="B26" s="16"/>
      <c r="C26" s="16" t="s">
        <v>30</v>
      </c>
      <c r="E26" s="24">
        <v>332000</v>
      </c>
      <c r="F26" s="110" t="s">
        <v>12</v>
      </c>
      <c r="G26" s="24">
        <v>418000</v>
      </c>
      <c r="H26" s="110" t="s">
        <v>12</v>
      </c>
      <c r="I26" s="24">
        <v>438000</v>
      </c>
      <c r="J26" s="110" t="s">
        <v>12</v>
      </c>
      <c r="K26" s="24">
        <v>150000</v>
      </c>
      <c r="L26" s="110"/>
      <c r="M26" s="24">
        <v>449000</v>
      </c>
      <c r="N26" s="110"/>
      <c r="O26" s="15">
        <f t="shared" si="0"/>
        <v>-65.75</v>
      </c>
      <c r="P26" s="15">
        <f t="shared" si="1"/>
        <v>199.33</v>
      </c>
    </row>
    <row r="27" spans="1:16" ht="11.25" customHeight="1" x14ac:dyDescent="0.25">
      <c r="A27" s="23" t="s">
        <v>144</v>
      </c>
      <c r="B27" s="16"/>
      <c r="C27" s="16" t="s">
        <v>27</v>
      </c>
      <c r="E27" s="26">
        <v>7300</v>
      </c>
      <c r="F27" s="27"/>
      <c r="G27" s="26">
        <v>7665</v>
      </c>
      <c r="H27" s="27"/>
      <c r="I27" s="26">
        <v>9855</v>
      </c>
      <c r="J27" s="27"/>
      <c r="K27" s="26">
        <v>5490</v>
      </c>
      <c r="L27" s="27"/>
      <c r="M27" s="26">
        <v>14600</v>
      </c>
      <c r="N27" s="27"/>
      <c r="O27" s="15">
        <f t="shared" si="0"/>
        <v>-44.29</v>
      </c>
      <c r="P27" s="15">
        <f t="shared" si="1"/>
        <v>165.94</v>
      </c>
    </row>
    <row r="28" spans="1:16" ht="11.25" customHeight="1" x14ac:dyDescent="0.25">
      <c r="A28" s="23" t="s">
        <v>31</v>
      </c>
      <c r="B28" s="16"/>
      <c r="C28" s="16"/>
      <c r="E28" s="24"/>
      <c r="F28" s="110"/>
      <c r="G28" s="24"/>
      <c r="H28" s="110"/>
      <c r="I28" s="24"/>
      <c r="J28" s="110"/>
      <c r="K28" s="24"/>
      <c r="L28" s="110"/>
      <c r="M28" s="24"/>
      <c r="N28" s="110"/>
    </row>
    <row r="29" spans="1:16" ht="11.25" customHeight="1" x14ac:dyDescent="0.25">
      <c r="A29" s="28" t="s">
        <v>32</v>
      </c>
      <c r="B29" s="16"/>
      <c r="C29" s="16" t="s">
        <v>27</v>
      </c>
      <c r="E29" s="24">
        <v>6935</v>
      </c>
      <c r="F29" s="110" t="s">
        <v>12</v>
      </c>
      <c r="G29" s="24">
        <v>5110</v>
      </c>
      <c r="H29" s="110" t="s">
        <v>12</v>
      </c>
      <c r="I29" s="24">
        <v>3650</v>
      </c>
      <c r="J29" s="110" t="s">
        <v>12</v>
      </c>
      <c r="K29" s="24">
        <v>4026</v>
      </c>
      <c r="L29" s="110"/>
      <c r="M29" s="24">
        <v>6935</v>
      </c>
      <c r="N29" s="110"/>
      <c r="O29" s="15">
        <f t="shared" si="0"/>
        <v>10.3</v>
      </c>
      <c r="P29" s="15">
        <f t="shared" si="1"/>
        <v>72.260000000000005</v>
      </c>
    </row>
    <row r="30" spans="1:16" ht="11.25" customHeight="1" x14ac:dyDescent="0.25">
      <c r="A30" s="28" t="s">
        <v>33</v>
      </c>
      <c r="B30" s="16"/>
      <c r="C30" s="16" t="s">
        <v>27</v>
      </c>
      <c r="E30" s="24">
        <v>2920</v>
      </c>
      <c r="F30" s="110" t="s">
        <v>12</v>
      </c>
      <c r="G30" s="24">
        <v>1825</v>
      </c>
      <c r="H30" s="110" t="s">
        <v>12</v>
      </c>
      <c r="I30" s="24">
        <v>1095</v>
      </c>
      <c r="J30" s="110" t="s">
        <v>12</v>
      </c>
      <c r="K30" s="24">
        <v>1095</v>
      </c>
      <c r="L30" s="110"/>
      <c r="M30" s="24">
        <v>2190</v>
      </c>
      <c r="N30" s="110"/>
      <c r="O30" s="15">
        <f t="shared" si="0"/>
        <v>0</v>
      </c>
      <c r="P30" s="15">
        <f t="shared" si="1"/>
        <v>100</v>
      </c>
    </row>
    <row r="31" spans="1:16" ht="11.25" customHeight="1" x14ac:dyDescent="0.25">
      <c r="A31" s="28" t="s">
        <v>34</v>
      </c>
      <c r="B31" s="16"/>
      <c r="C31" s="16" t="s">
        <v>27</v>
      </c>
      <c r="E31" s="24">
        <v>3285</v>
      </c>
      <c r="F31" s="110" t="s">
        <v>12</v>
      </c>
      <c r="G31" s="24">
        <v>2190</v>
      </c>
      <c r="H31" s="110" t="s">
        <v>12</v>
      </c>
      <c r="I31" s="24">
        <v>1460</v>
      </c>
      <c r="J31" s="110" t="s">
        <v>12</v>
      </c>
      <c r="K31" s="24">
        <v>1464</v>
      </c>
      <c r="L31" s="110"/>
      <c r="M31" s="24">
        <v>2555</v>
      </c>
      <c r="N31" s="110"/>
      <c r="O31" s="15">
        <f t="shared" si="0"/>
        <v>0.27</v>
      </c>
      <c r="P31" s="15">
        <f t="shared" si="1"/>
        <v>74.52</v>
      </c>
    </row>
    <row r="32" spans="1:16" ht="11.25" customHeight="1" x14ac:dyDescent="0.25">
      <c r="A32" s="28" t="s">
        <v>35</v>
      </c>
      <c r="B32" s="16"/>
      <c r="C32" s="16" t="s">
        <v>27</v>
      </c>
      <c r="E32" s="24">
        <v>8030</v>
      </c>
      <c r="F32" s="110" t="s">
        <v>12</v>
      </c>
      <c r="G32" s="24">
        <v>5475</v>
      </c>
      <c r="H32" s="110" t="s">
        <v>12</v>
      </c>
      <c r="I32" s="24">
        <v>3650</v>
      </c>
      <c r="J32" s="110" t="s">
        <v>12</v>
      </c>
      <c r="K32" s="24">
        <v>4026</v>
      </c>
      <c r="L32" s="110"/>
      <c r="M32" s="24">
        <v>6570</v>
      </c>
      <c r="N32" s="110"/>
      <c r="O32" s="15">
        <f t="shared" si="0"/>
        <v>10.3</v>
      </c>
      <c r="P32" s="15">
        <f t="shared" si="1"/>
        <v>63.19</v>
      </c>
    </row>
    <row r="33" spans="1:16" ht="11.25" customHeight="1" x14ac:dyDescent="0.25">
      <c r="A33" s="28" t="s">
        <v>36</v>
      </c>
      <c r="B33" s="16"/>
      <c r="C33" s="16" t="s">
        <v>27</v>
      </c>
      <c r="E33" s="24">
        <v>12775</v>
      </c>
      <c r="F33" s="110" t="s">
        <v>12</v>
      </c>
      <c r="G33" s="24">
        <v>19710</v>
      </c>
      <c r="H33" s="110" t="s">
        <v>12</v>
      </c>
      <c r="I33" s="24">
        <v>17885</v>
      </c>
      <c r="J33" s="110" t="s">
        <v>12</v>
      </c>
      <c r="K33" s="24">
        <v>18666</v>
      </c>
      <c r="L33" s="110"/>
      <c r="M33" s="24">
        <v>27375</v>
      </c>
      <c r="N33" s="110"/>
      <c r="O33" s="15">
        <f t="shared" si="0"/>
        <v>4.37</v>
      </c>
      <c r="P33" s="15">
        <f t="shared" si="1"/>
        <v>46.66</v>
      </c>
    </row>
    <row r="34" spans="1:16" ht="11.25" customHeight="1" x14ac:dyDescent="0.25">
      <c r="A34" s="29" t="s">
        <v>37</v>
      </c>
      <c r="B34" s="30"/>
      <c r="C34" s="30" t="s">
        <v>27</v>
      </c>
      <c r="E34" s="31">
        <v>33900</v>
      </c>
      <c r="F34" s="18" t="s">
        <v>12</v>
      </c>
      <c r="G34" s="31">
        <v>34300</v>
      </c>
      <c r="H34" s="18" t="s">
        <v>12</v>
      </c>
      <c r="I34" s="31">
        <v>27700</v>
      </c>
      <c r="J34" s="18" t="s">
        <v>12</v>
      </c>
      <c r="K34" s="31">
        <v>29300</v>
      </c>
      <c r="L34" s="18"/>
      <c r="M34" s="31">
        <v>45600</v>
      </c>
      <c r="N34" s="18"/>
      <c r="O34" s="15">
        <f>(K34-I34)/I34*100</f>
        <v>5.78</v>
      </c>
      <c r="P34" s="15">
        <f t="shared" si="1"/>
        <v>55.63</v>
      </c>
    </row>
    <row r="35" spans="1:16" ht="11.25" customHeight="1" x14ac:dyDescent="0.25">
      <c r="A35" s="125" t="s">
        <v>38</v>
      </c>
      <c r="B35" s="125"/>
      <c r="C35" s="125"/>
      <c r="D35" s="125"/>
      <c r="E35" s="125"/>
      <c r="F35" s="125"/>
      <c r="G35" s="125"/>
      <c r="H35" s="125"/>
      <c r="I35" s="125"/>
      <c r="J35" s="125"/>
      <c r="K35" s="125"/>
      <c r="L35" s="125"/>
      <c r="M35" s="125"/>
      <c r="N35" s="125"/>
    </row>
    <row r="36" spans="1:16" ht="22.95" customHeight="1" x14ac:dyDescent="0.25">
      <c r="A36" s="126" t="s">
        <v>39</v>
      </c>
      <c r="B36" s="126"/>
      <c r="C36" s="126"/>
      <c r="D36" s="126"/>
      <c r="E36" s="126"/>
      <c r="F36" s="126"/>
      <c r="G36" s="126"/>
      <c r="H36" s="126"/>
      <c r="I36" s="126"/>
      <c r="J36" s="126"/>
      <c r="K36" s="126"/>
      <c r="L36" s="126"/>
      <c r="M36" s="126"/>
      <c r="N36" s="126"/>
    </row>
    <row r="37" spans="1:16" ht="22.95" customHeight="1" x14ac:dyDescent="0.25">
      <c r="A37" s="126" t="s">
        <v>153</v>
      </c>
      <c r="B37" s="126"/>
      <c r="C37" s="126"/>
      <c r="D37" s="126"/>
      <c r="E37" s="126"/>
      <c r="F37" s="126"/>
      <c r="G37" s="126"/>
      <c r="H37" s="126"/>
      <c r="I37" s="126"/>
      <c r="J37" s="126"/>
      <c r="K37" s="126"/>
      <c r="L37" s="126"/>
      <c r="M37" s="126"/>
      <c r="N37" s="126"/>
    </row>
    <row r="38" spans="1:16" ht="11.25" customHeight="1" x14ac:dyDescent="0.25">
      <c r="A38" s="124" t="s">
        <v>40</v>
      </c>
      <c r="B38" s="124"/>
      <c r="C38" s="124"/>
      <c r="D38" s="124"/>
      <c r="E38" s="124"/>
      <c r="F38" s="124"/>
      <c r="G38" s="124"/>
      <c r="H38" s="124"/>
      <c r="I38" s="124"/>
      <c r="J38" s="124"/>
      <c r="K38" s="124"/>
      <c r="L38" s="124"/>
      <c r="M38" s="124"/>
      <c r="N38" s="124"/>
    </row>
  </sheetData>
  <mergeCells count="13">
    <mergeCell ref="A38:N38"/>
    <mergeCell ref="A35:N35"/>
    <mergeCell ref="A36:N36"/>
    <mergeCell ref="A1:N1"/>
    <mergeCell ref="A2:N2"/>
    <mergeCell ref="A3:N3"/>
    <mergeCell ref="A4:N4"/>
    <mergeCell ref="A5:N5"/>
    <mergeCell ref="A6:C6"/>
    <mergeCell ref="A7:C7"/>
    <mergeCell ref="A11:C11"/>
    <mergeCell ref="A20:C20"/>
    <mergeCell ref="A37:N37"/>
  </mergeCells>
  <pageMargins left="0.5" right="0.5" top="0.5" bottom="0.75"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W128"/>
  <sheetViews>
    <sheetView zoomScaleNormal="100" workbookViewId="0">
      <selection sqref="A1:H1"/>
    </sheetView>
  </sheetViews>
  <sheetFormatPr defaultColWidth="8.6640625" defaultRowHeight="13.2" x14ac:dyDescent="0.25"/>
  <cols>
    <col min="1" max="2" width="12.88671875" style="1" customWidth="1"/>
    <col min="3" max="3" width="1.5546875" style="1" customWidth="1"/>
    <col min="4" max="4" width="36" style="1" customWidth="1"/>
    <col min="5" max="5" width="1.5546875" style="1" customWidth="1"/>
    <col min="6" max="6" width="22.5546875" style="1" customWidth="1"/>
    <col min="7" max="7" width="1.5546875" style="1" customWidth="1"/>
    <col min="8" max="8" width="6.5546875" style="1" customWidth="1"/>
    <col min="9" max="239" width="8.6640625" style="1"/>
    <col min="240" max="240" width="3.6640625" style="1" customWidth="1"/>
    <col min="241" max="241" width="11.6640625" style="1" customWidth="1"/>
    <col min="242" max="242" width="7.6640625" style="1" customWidth="1"/>
    <col min="243" max="243" width="1.6640625" style="1" customWidth="1"/>
    <col min="244" max="244" width="34.6640625" style="1" customWidth="1"/>
    <col min="245" max="245" width="1.6640625" style="1" customWidth="1"/>
    <col min="246" max="246" width="25.6640625" style="1" customWidth="1"/>
    <col min="247" max="247" width="1.6640625" style="1" customWidth="1"/>
    <col min="248" max="248" width="6.5546875" style="1" bestFit="1" customWidth="1"/>
    <col min="249" max="495" width="8.6640625" style="1"/>
    <col min="496" max="496" width="3.6640625" style="1" customWidth="1"/>
    <col min="497" max="497" width="11.6640625" style="1" customWidth="1"/>
    <col min="498" max="498" width="7.6640625" style="1" customWidth="1"/>
    <col min="499" max="499" width="1.6640625" style="1" customWidth="1"/>
    <col min="500" max="500" width="34.6640625" style="1" customWidth="1"/>
    <col min="501" max="501" width="1.6640625" style="1" customWidth="1"/>
    <col min="502" max="502" width="25.6640625" style="1" customWidth="1"/>
    <col min="503" max="503" width="1.6640625" style="1" customWidth="1"/>
    <col min="504" max="504" width="6.5546875" style="1" bestFit="1" customWidth="1"/>
    <col min="505" max="751" width="8.6640625" style="1"/>
    <col min="752" max="752" width="3.6640625" style="1" customWidth="1"/>
    <col min="753" max="753" width="11.6640625" style="1" customWidth="1"/>
    <col min="754" max="754" width="7.6640625" style="1" customWidth="1"/>
    <col min="755" max="755" width="1.6640625" style="1" customWidth="1"/>
    <col min="756" max="756" width="34.6640625" style="1" customWidth="1"/>
    <col min="757" max="757" width="1.6640625" style="1" customWidth="1"/>
    <col min="758" max="758" width="25.6640625" style="1" customWidth="1"/>
    <col min="759" max="759" width="1.6640625" style="1" customWidth="1"/>
    <col min="760" max="760" width="6.5546875" style="1" bestFit="1" customWidth="1"/>
    <col min="761" max="1007" width="8.6640625" style="1"/>
    <col min="1008" max="1008" width="3.6640625" style="1" customWidth="1"/>
    <col min="1009" max="1009" width="11.6640625" style="1" customWidth="1"/>
    <col min="1010" max="1010" width="7.6640625" style="1" customWidth="1"/>
    <col min="1011" max="1011" width="1.6640625" style="1" customWidth="1"/>
    <col min="1012" max="1012" width="34.6640625" style="1" customWidth="1"/>
    <col min="1013" max="1013" width="1.6640625" style="1" customWidth="1"/>
    <col min="1014" max="1014" width="25.6640625" style="1" customWidth="1"/>
    <col min="1015" max="1015" width="1.6640625" style="1" customWidth="1"/>
    <col min="1016" max="1016" width="6.5546875" style="1" bestFit="1" customWidth="1"/>
    <col min="1017" max="1263" width="8.6640625" style="1"/>
    <col min="1264" max="1264" width="3.6640625" style="1" customWidth="1"/>
    <col min="1265" max="1265" width="11.6640625" style="1" customWidth="1"/>
    <col min="1266" max="1266" width="7.6640625" style="1" customWidth="1"/>
    <col min="1267" max="1267" width="1.6640625" style="1" customWidth="1"/>
    <col min="1268" max="1268" width="34.6640625" style="1" customWidth="1"/>
    <col min="1269" max="1269" width="1.6640625" style="1" customWidth="1"/>
    <col min="1270" max="1270" width="25.6640625" style="1" customWidth="1"/>
    <col min="1271" max="1271" width="1.6640625" style="1" customWidth="1"/>
    <col min="1272" max="1272" width="6.5546875" style="1" bestFit="1" customWidth="1"/>
    <col min="1273" max="1519" width="8.6640625" style="1"/>
    <col min="1520" max="1520" width="3.6640625" style="1" customWidth="1"/>
    <col min="1521" max="1521" width="11.6640625" style="1" customWidth="1"/>
    <col min="1522" max="1522" width="7.6640625" style="1" customWidth="1"/>
    <col min="1523" max="1523" width="1.6640625" style="1" customWidth="1"/>
    <col min="1524" max="1524" width="34.6640625" style="1" customWidth="1"/>
    <col min="1525" max="1525" width="1.6640625" style="1" customWidth="1"/>
    <col min="1526" max="1526" width="25.6640625" style="1" customWidth="1"/>
    <col min="1527" max="1527" width="1.6640625" style="1" customWidth="1"/>
    <col min="1528" max="1528" width="6.5546875" style="1" bestFit="1" customWidth="1"/>
    <col min="1529" max="1775" width="8.6640625" style="1"/>
    <col min="1776" max="1776" width="3.6640625" style="1" customWidth="1"/>
    <col min="1777" max="1777" width="11.6640625" style="1" customWidth="1"/>
    <col min="1778" max="1778" width="7.6640625" style="1" customWidth="1"/>
    <col min="1779" max="1779" width="1.6640625" style="1" customWidth="1"/>
    <col min="1780" max="1780" width="34.6640625" style="1" customWidth="1"/>
    <col min="1781" max="1781" width="1.6640625" style="1" customWidth="1"/>
    <col min="1782" max="1782" width="25.6640625" style="1" customWidth="1"/>
    <col min="1783" max="1783" width="1.6640625" style="1" customWidth="1"/>
    <col min="1784" max="1784" width="6.5546875" style="1" bestFit="1" customWidth="1"/>
    <col min="1785" max="2031" width="8.6640625" style="1"/>
    <col min="2032" max="2032" width="3.6640625" style="1" customWidth="1"/>
    <col min="2033" max="2033" width="11.6640625" style="1" customWidth="1"/>
    <col min="2034" max="2034" width="7.6640625" style="1" customWidth="1"/>
    <col min="2035" max="2035" width="1.6640625" style="1" customWidth="1"/>
    <col min="2036" max="2036" width="34.6640625" style="1" customWidth="1"/>
    <col min="2037" max="2037" width="1.6640625" style="1" customWidth="1"/>
    <col min="2038" max="2038" width="25.6640625" style="1" customWidth="1"/>
    <col min="2039" max="2039" width="1.6640625" style="1" customWidth="1"/>
    <col min="2040" max="2040" width="6.5546875" style="1" bestFit="1" customWidth="1"/>
    <col min="2041" max="2287" width="8.6640625" style="1"/>
    <col min="2288" max="2288" width="3.6640625" style="1" customWidth="1"/>
    <col min="2289" max="2289" width="11.6640625" style="1" customWidth="1"/>
    <col min="2290" max="2290" width="7.6640625" style="1" customWidth="1"/>
    <col min="2291" max="2291" width="1.6640625" style="1" customWidth="1"/>
    <col min="2292" max="2292" width="34.6640625" style="1" customWidth="1"/>
    <col min="2293" max="2293" width="1.6640625" style="1" customWidth="1"/>
    <col min="2294" max="2294" width="25.6640625" style="1" customWidth="1"/>
    <col min="2295" max="2295" width="1.6640625" style="1" customWidth="1"/>
    <col min="2296" max="2296" width="6.5546875" style="1" bestFit="1" customWidth="1"/>
    <col min="2297" max="2543" width="8.6640625" style="1"/>
    <col min="2544" max="2544" width="3.6640625" style="1" customWidth="1"/>
    <col min="2545" max="2545" width="11.6640625" style="1" customWidth="1"/>
    <col min="2546" max="2546" width="7.6640625" style="1" customWidth="1"/>
    <col min="2547" max="2547" width="1.6640625" style="1" customWidth="1"/>
    <col min="2548" max="2548" width="34.6640625" style="1" customWidth="1"/>
    <col min="2549" max="2549" width="1.6640625" style="1" customWidth="1"/>
    <col min="2550" max="2550" width="25.6640625" style="1" customWidth="1"/>
    <col min="2551" max="2551" width="1.6640625" style="1" customWidth="1"/>
    <col min="2552" max="2552" width="6.5546875" style="1" bestFit="1" customWidth="1"/>
    <col min="2553" max="2799" width="8.6640625" style="1"/>
    <col min="2800" max="2800" width="3.6640625" style="1" customWidth="1"/>
    <col min="2801" max="2801" width="11.6640625" style="1" customWidth="1"/>
    <col min="2802" max="2802" width="7.6640625" style="1" customWidth="1"/>
    <col min="2803" max="2803" width="1.6640625" style="1" customWidth="1"/>
    <col min="2804" max="2804" width="34.6640625" style="1" customWidth="1"/>
    <col min="2805" max="2805" width="1.6640625" style="1" customWidth="1"/>
    <col min="2806" max="2806" width="25.6640625" style="1" customWidth="1"/>
    <col min="2807" max="2807" width="1.6640625" style="1" customWidth="1"/>
    <col min="2808" max="2808" width="6.5546875" style="1" bestFit="1" customWidth="1"/>
    <col min="2809" max="3055" width="8.6640625" style="1"/>
    <col min="3056" max="3056" width="3.6640625" style="1" customWidth="1"/>
    <col min="3057" max="3057" width="11.6640625" style="1" customWidth="1"/>
    <col min="3058" max="3058" width="7.6640625" style="1" customWidth="1"/>
    <col min="3059" max="3059" width="1.6640625" style="1" customWidth="1"/>
    <col min="3060" max="3060" width="34.6640625" style="1" customWidth="1"/>
    <col min="3061" max="3061" width="1.6640625" style="1" customWidth="1"/>
    <col min="3062" max="3062" width="25.6640625" style="1" customWidth="1"/>
    <col min="3063" max="3063" width="1.6640625" style="1" customWidth="1"/>
    <col min="3064" max="3064" width="6.5546875" style="1" bestFit="1" customWidth="1"/>
    <col min="3065" max="3311" width="8.6640625" style="1"/>
    <col min="3312" max="3312" width="3.6640625" style="1" customWidth="1"/>
    <col min="3313" max="3313" width="11.6640625" style="1" customWidth="1"/>
    <col min="3314" max="3314" width="7.6640625" style="1" customWidth="1"/>
    <col min="3315" max="3315" width="1.6640625" style="1" customWidth="1"/>
    <col min="3316" max="3316" width="34.6640625" style="1" customWidth="1"/>
    <col min="3317" max="3317" width="1.6640625" style="1" customWidth="1"/>
    <col min="3318" max="3318" width="25.6640625" style="1" customWidth="1"/>
    <col min="3319" max="3319" width="1.6640625" style="1" customWidth="1"/>
    <col min="3320" max="3320" width="6.5546875" style="1" bestFit="1" customWidth="1"/>
    <col min="3321" max="3567" width="8.6640625" style="1"/>
    <col min="3568" max="3568" width="3.6640625" style="1" customWidth="1"/>
    <col min="3569" max="3569" width="11.6640625" style="1" customWidth="1"/>
    <col min="3570" max="3570" width="7.6640625" style="1" customWidth="1"/>
    <col min="3571" max="3571" width="1.6640625" style="1" customWidth="1"/>
    <col min="3572" max="3572" width="34.6640625" style="1" customWidth="1"/>
    <col min="3573" max="3573" width="1.6640625" style="1" customWidth="1"/>
    <col min="3574" max="3574" width="25.6640625" style="1" customWidth="1"/>
    <col min="3575" max="3575" width="1.6640625" style="1" customWidth="1"/>
    <col min="3576" max="3576" width="6.5546875" style="1" bestFit="1" customWidth="1"/>
    <col min="3577" max="3823" width="8.6640625" style="1"/>
    <col min="3824" max="3824" width="3.6640625" style="1" customWidth="1"/>
    <col min="3825" max="3825" width="11.6640625" style="1" customWidth="1"/>
    <col min="3826" max="3826" width="7.6640625" style="1" customWidth="1"/>
    <col min="3827" max="3827" width="1.6640625" style="1" customWidth="1"/>
    <col min="3828" max="3828" width="34.6640625" style="1" customWidth="1"/>
    <col min="3829" max="3829" width="1.6640625" style="1" customWidth="1"/>
    <col min="3830" max="3830" width="25.6640625" style="1" customWidth="1"/>
    <col min="3831" max="3831" width="1.6640625" style="1" customWidth="1"/>
    <col min="3832" max="3832" width="6.5546875" style="1" bestFit="1" customWidth="1"/>
    <col min="3833" max="4079" width="8.6640625" style="1"/>
    <col min="4080" max="4080" width="3.6640625" style="1" customWidth="1"/>
    <col min="4081" max="4081" width="11.6640625" style="1" customWidth="1"/>
    <col min="4082" max="4082" width="7.6640625" style="1" customWidth="1"/>
    <col min="4083" max="4083" width="1.6640625" style="1" customWidth="1"/>
    <col min="4084" max="4084" width="34.6640625" style="1" customWidth="1"/>
    <col min="4085" max="4085" width="1.6640625" style="1" customWidth="1"/>
    <col min="4086" max="4086" width="25.6640625" style="1" customWidth="1"/>
    <col min="4087" max="4087" width="1.6640625" style="1" customWidth="1"/>
    <col min="4088" max="4088" width="6.5546875" style="1" bestFit="1" customWidth="1"/>
    <col min="4089" max="4335" width="8.6640625" style="1"/>
    <col min="4336" max="4336" width="3.6640625" style="1" customWidth="1"/>
    <col min="4337" max="4337" width="11.6640625" style="1" customWidth="1"/>
    <col min="4338" max="4338" width="7.6640625" style="1" customWidth="1"/>
    <col min="4339" max="4339" width="1.6640625" style="1" customWidth="1"/>
    <col min="4340" max="4340" width="34.6640625" style="1" customWidth="1"/>
    <col min="4341" max="4341" width="1.6640625" style="1" customWidth="1"/>
    <col min="4342" max="4342" width="25.6640625" style="1" customWidth="1"/>
    <col min="4343" max="4343" width="1.6640625" style="1" customWidth="1"/>
    <col min="4344" max="4344" width="6.5546875" style="1" bestFit="1" customWidth="1"/>
    <col min="4345" max="4591" width="8.6640625" style="1"/>
    <col min="4592" max="4592" width="3.6640625" style="1" customWidth="1"/>
    <col min="4593" max="4593" width="11.6640625" style="1" customWidth="1"/>
    <col min="4594" max="4594" width="7.6640625" style="1" customWidth="1"/>
    <col min="4595" max="4595" width="1.6640625" style="1" customWidth="1"/>
    <col min="4596" max="4596" width="34.6640625" style="1" customWidth="1"/>
    <col min="4597" max="4597" width="1.6640625" style="1" customWidth="1"/>
    <col min="4598" max="4598" width="25.6640625" style="1" customWidth="1"/>
    <col min="4599" max="4599" width="1.6640625" style="1" customWidth="1"/>
    <col min="4600" max="4600" width="6.5546875" style="1" bestFit="1" customWidth="1"/>
    <col min="4601" max="4847" width="8.6640625" style="1"/>
    <col min="4848" max="4848" width="3.6640625" style="1" customWidth="1"/>
    <col min="4849" max="4849" width="11.6640625" style="1" customWidth="1"/>
    <col min="4850" max="4850" width="7.6640625" style="1" customWidth="1"/>
    <col min="4851" max="4851" width="1.6640625" style="1" customWidth="1"/>
    <col min="4852" max="4852" width="34.6640625" style="1" customWidth="1"/>
    <col min="4853" max="4853" width="1.6640625" style="1" customWidth="1"/>
    <col min="4854" max="4854" width="25.6640625" style="1" customWidth="1"/>
    <col min="4855" max="4855" width="1.6640625" style="1" customWidth="1"/>
    <col min="4856" max="4856" width="6.5546875" style="1" bestFit="1" customWidth="1"/>
    <col min="4857" max="5103" width="8.6640625" style="1"/>
    <col min="5104" max="5104" width="3.6640625" style="1" customWidth="1"/>
    <col min="5105" max="5105" width="11.6640625" style="1" customWidth="1"/>
    <col min="5106" max="5106" width="7.6640625" style="1" customWidth="1"/>
    <col min="5107" max="5107" width="1.6640625" style="1" customWidth="1"/>
    <col min="5108" max="5108" width="34.6640625" style="1" customWidth="1"/>
    <col min="5109" max="5109" width="1.6640625" style="1" customWidth="1"/>
    <col min="5110" max="5110" width="25.6640625" style="1" customWidth="1"/>
    <col min="5111" max="5111" width="1.6640625" style="1" customWidth="1"/>
    <col min="5112" max="5112" width="6.5546875" style="1" bestFit="1" customWidth="1"/>
    <col min="5113" max="5359" width="8.6640625" style="1"/>
    <col min="5360" max="5360" width="3.6640625" style="1" customWidth="1"/>
    <col min="5361" max="5361" width="11.6640625" style="1" customWidth="1"/>
    <col min="5362" max="5362" width="7.6640625" style="1" customWidth="1"/>
    <col min="5363" max="5363" width="1.6640625" style="1" customWidth="1"/>
    <col min="5364" max="5364" width="34.6640625" style="1" customWidth="1"/>
    <col min="5365" max="5365" width="1.6640625" style="1" customWidth="1"/>
    <col min="5366" max="5366" width="25.6640625" style="1" customWidth="1"/>
    <col min="5367" max="5367" width="1.6640625" style="1" customWidth="1"/>
    <col min="5368" max="5368" width="6.5546875" style="1" bestFit="1" customWidth="1"/>
    <col min="5369" max="5615" width="8.6640625" style="1"/>
    <col min="5616" max="5616" width="3.6640625" style="1" customWidth="1"/>
    <col min="5617" max="5617" width="11.6640625" style="1" customWidth="1"/>
    <col min="5618" max="5618" width="7.6640625" style="1" customWidth="1"/>
    <col min="5619" max="5619" width="1.6640625" style="1" customWidth="1"/>
    <col min="5620" max="5620" width="34.6640625" style="1" customWidth="1"/>
    <col min="5621" max="5621" width="1.6640625" style="1" customWidth="1"/>
    <col min="5622" max="5622" width="25.6640625" style="1" customWidth="1"/>
    <col min="5623" max="5623" width="1.6640625" style="1" customWidth="1"/>
    <col min="5624" max="5624" width="6.5546875" style="1" bestFit="1" customWidth="1"/>
    <col min="5625" max="5871" width="8.6640625" style="1"/>
    <col min="5872" max="5872" width="3.6640625" style="1" customWidth="1"/>
    <col min="5873" max="5873" width="11.6640625" style="1" customWidth="1"/>
    <col min="5874" max="5874" width="7.6640625" style="1" customWidth="1"/>
    <col min="5875" max="5875" width="1.6640625" style="1" customWidth="1"/>
    <col min="5876" max="5876" width="34.6640625" style="1" customWidth="1"/>
    <col min="5877" max="5877" width="1.6640625" style="1" customWidth="1"/>
    <col min="5878" max="5878" width="25.6640625" style="1" customWidth="1"/>
    <col min="5879" max="5879" width="1.6640625" style="1" customWidth="1"/>
    <col min="5880" max="5880" width="6.5546875" style="1" bestFit="1" customWidth="1"/>
    <col min="5881" max="6127" width="8.6640625" style="1"/>
    <col min="6128" max="6128" width="3.6640625" style="1" customWidth="1"/>
    <col min="6129" max="6129" width="11.6640625" style="1" customWidth="1"/>
    <col min="6130" max="6130" width="7.6640625" style="1" customWidth="1"/>
    <col min="6131" max="6131" width="1.6640625" style="1" customWidth="1"/>
    <col min="6132" max="6132" width="34.6640625" style="1" customWidth="1"/>
    <col min="6133" max="6133" width="1.6640625" style="1" customWidth="1"/>
    <col min="6134" max="6134" width="25.6640625" style="1" customWidth="1"/>
    <col min="6135" max="6135" width="1.6640625" style="1" customWidth="1"/>
    <col min="6136" max="6136" width="6.5546875" style="1" bestFit="1" customWidth="1"/>
    <col min="6137" max="6383" width="8.6640625" style="1"/>
    <col min="6384" max="6384" width="3.6640625" style="1" customWidth="1"/>
    <col min="6385" max="6385" width="11.6640625" style="1" customWidth="1"/>
    <col min="6386" max="6386" width="7.6640625" style="1" customWidth="1"/>
    <col min="6387" max="6387" width="1.6640625" style="1" customWidth="1"/>
    <col min="6388" max="6388" width="34.6640625" style="1" customWidth="1"/>
    <col min="6389" max="6389" width="1.6640625" style="1" customWidth="1"/>
    <col min="6390" max="6390" width="25.6640625" style="1" customWidth="1"/>
    <col min="6391" max="6391" width="1.6640625" style="1" customWidth="1"/>
    <col min="6392" max="6392" width="6.5546875" style="1" bestFit="1" customWidth="1"/>
    <col min="6393" max="6639" width="8.6640625" style="1"/>
    <col min="6640" max="6640" width="3.6640625" style="1" customWidth="1"/>
    <col min="6641" max="6641" width="11.6640625" style="1" customWidth="1"/>
    <col min="6642" max="6642" width="7.6640625" style="1" customWidth="1"/>
    <col min="6643" max="6643" width="1.6640625" style="1" customWidth="1"/>
    <col min="6644" max="6644" width="34.6640625" style="1" customWidth="1"/>
    <col min="6645" max="6645" width="1.6640625" style="1" customWidth="1"/>
    <col min="6646" max="6646" width="25.6640625" style="1" customWidth="1"/>
    <col min="6647" max="6647" width="1.6640625" style="1" customWidth="1"/>
    <col min="6648" max="6648" width="6.5546875" style="1" bestFit="1" customWidth="1"/>
    <col min="6649" max="6895" width="8.6640625" style="1"/>
    <col min="6896" max="6896" width="3.6640625" style="1" customWidth="1"/>
    <col min="6897" max="6897" width="11.6640625" style="1" customWidth="1"/>
    <col min="6898" max="6898" width="7.6640625" style="1" customWidth="1"/>
    <col min="6899" max="6899" width="1.6640625" style="1" customWidth="1"/>
    <col min="6900" max="6900" width="34.6640625" style="1" customWidth="1"/>
    <col min="6901" max="6901" width="1.6640625" style="1" customWidth="1"/>
    <col min="6902" max="6902" width="25.6640625" style="1" customWidth="1"/>
    <col min="6903" max="6903" width="1.6640625" style="1" customWidth="1"/>
    <col min="6904" max="6904" width="6.5546875" style="1" bestFit="1" customWidth="1"/>
    <col min="6905" max="7151" width="8.6640625" style="1"/>
    <col min="7152" max="7152" width="3.6640625" style="1" customWidth="1"/>
    <col min="7153" max="7153" width="11.6640625" style="1" customWidth="1"/>
    <col min="7154" max="7154" width="7.6640625" style="1" customWidth="1"/>
    <col min="7155" max="7155" width="1.6640625" style="1" customWidth="1"/>
    <col min="7156" max="7156" width="34.6640625" style="1" customWidth="1"/>
    <col min="7157" max="7157" width="1.6640625" style="1" customWidth="1"/>
    <col min="7158" max="7158" width="25.6640625" style="1" customWidth="1"/>
    <col min="7159" max="7159" width="1.6640625" style="1" customWidth="1"/>
    <col min="7160" max="7160" width="6.5546875" style="1" bestFit="1" customWidth="1"/>
    <col min="7161" max="7407" width="8.6640625" style="1"/>
    <col min="7408" max="7408" width="3.6640625" style="1" customWidth="1"/>
    <col min="7409" max="7409" width="11.6640625" style="1" customWidth="1"/>
    <col min="7410" max="7410" width="7.6640625" style="1" customWidth="1"/>
    <col min="7411" max="7411" width="1.6640625" style="1" customWidth="1"/>
    <col min="7412" max="7412" width="34.6640625" style="1" customWidth="1"/>
    <col min="7413" max="7413" width="1.6640625" style="1" customWidth="1"/>
    <col min="7414" max="7414" width="25.6640625" style="1" customWidth="1"/>
    <col min="7415" max="7415" width="1.6640625" style="1" customWidth="1"/>
    <col min="7416" max="7416" width="6.5546875" style="1" bestFit="1" customWidth="1"/>
    <col min="7417" max="7663" width="8.6640625" style="1"/>
    <col min="7664" max="7664" width="3.6640625" style="1" customWidth="1"/>
    <col min="7665" max="7665" width="11.6640625" style="1" customWidth="1"/>
    <col min="7666" max="7666" width="7.6640625" style="1" customWidth="1"/>
    <col min="7667" max="7667" width="1.6640625" style="1" customWidth="1"/>
    <col min="7668" max="7668" width="34.6640625" style="1" customWidth="1"/>
    <col min="7669" max="7669" width="1.6640625" style="1" customWidth="1"/>
    <col min="7670" max="7670" width="25.6640625" style="1" customWidth="1"/>
    <col min="7671" max="7671" width="1.6640625" style="1" customWidth="1"/>
    <col min="7672" max="7672" width="6.5546875" style="1" bestFit="1" customWidth="1"/>
    <col min="7673" max="7919" width="8.6640625" style="1"/>
    <col min="7920" max="7920" width="3.6640625" style="1" customWidth="1"/>
    <col min="7921" max="7921" width="11.6640625" style="1" customWidth="1"/>
    <col min="7922" max="7922" width="7.6640625" style="1" customWidth="1"/>
    <col min="7923" max="7923" width="1.6640625" style="1" customWidth="1"/>
    <col min="7924" max="7924" width="34.6640625" style="1" customWidth="1"/>
    <col min="7925" max="7925" width="1.6640625" style="1" customWidth="1"/>
    <col min="7926" max="7926" width="25.6640625" style="1" customWidth="1"/>
    <col min="7927" max="7927" width="1.6640625" style="1" customWidth="1"/>
    <col min="7928" max="7928" width="6.5546875" style="1" bestFit="1" customWidth="1"/>
    <col min="7929" max="8175" width="8.6640625" style="1"/>
    <col min="8176" max="8176" width="3.6640625" style="1" customWidth="1"/>
    <col min="8177" max="8177" width="11.6640625" style="1" customWidth="1"/>
    <col min="8178" max="8178" width="7.6640625" style="1" customWidth="1"/>
    <col min="8179" max="8179" width="1.6640625" style="1" customWidth="1"/>
    <col min="8180" max="8180" width="34.6640625" style="1" customWidth="1"/>
    <col min="8181" max="8181" width="1.6640625" style="1" customWidth="1"/>
    <col min="8182" max="8182" width="25.6640625" style="1" customWidth="1"/>
    <col min="8183" max="8183" width="1.6640625" style="1" customWidth="1"/>
    <col min="8184" max="8184" width="6.5546875" style="1" bestFit="1" customWidth="1"/>
    <col min="8185" max="8431" width="8.6640625" style="1"/>
    <col min="8432" max="8432" width="3.6640625" style="1" customWidth="1"/>
    <col min="8433" max="8433" width="11.6640625" style="1" customWidth="1"/>
    <col min="8434" max="8434" width="7.6640625" style="1" customWidth="1"/>
    <col min="8435" max="8435" width="1.6640625" style="1" customWidth="1"/>
    <col min="8436" max="8436" width="34.6640625" style="1" customWidth="1"/>
    <col min="8437" max="8437" width="1.6640625" style="1" customWidth="1"/>
    <col min="8438" max="8438" width="25.6640625" style="1" customWidth="1"/>
    <col min="8439" max="8439" width="1.6640625" style="1" customWidth="1"/>
    <col min="8440" max="8440" width="6.5546875" style="1" bestFit="1" customWidth="1"/>
    <col min="8441" max="8687" width="8.6640625" style="1"/>
    <col min="8688" max="8688" width="3.6640625" style="1" customWidth="1"/>
    <col min="8689" max="8689" width="11.6640625" style="1" customWidth="1"/>
    <col min="8690" max="8690" width="7.6640625" style="1" customWidth="1"/>
    <col min="8691" max="8691" width="1.6640625" style="1" customWidth="1"/>
    <col min="8692" max="8692" width="34.6640625" style="1" customWidth="1"/>
    <col min="8693" max="8693" width="1.6640625" style="1" customWidth="1"/>
    <col min="8694" max="8694" width="25.6640625" style="1" customWidth="1"/>
    <col min="8695" max="8695" width="1.6640625" style="1" customWidth="1"/>
    <col min="8696" max="8696" width="6.5546875" style="1" bestFit="1" customWidth="1"/>
    <col min="8697" max="8943" width="8.6640625" style="1"/>
    <col min="8944" max="8944" width="3.6640625" style="1" customWidth="1"/>
    <col min="8945" max="8945" width="11.6640625" style="1" customWidth="1"/>
    <col min="8946" max="8946" width="7.6640625" style="1" customWidth="1"/>
    <col min="8947" max="8947" width="1.6640625" style="1" customWidth="1"/>
    <col min="8948" max="8948" width="34.6640625" style="1" customWidth="1"/>
    <col min="8949" max="8949" width="1.6640625" style="1" customWidth="1"/>
    <col min="8950" max="8950" width="25.6640625" style="1" customWidth="1"/>
    <col min="8951" max="8951" width="1.6640625" style="1" customWidth="1"/>
    <col min="8952" max="8952" width="6.5546875" style="1" bestFit="1" customWidth="1"/>
    <col min="8953" max="9199" width="8.6640625" style="1"/>
    <col min="9200" max="9200" width="3.6640625" style="1" customWidth="1"/>
    <col min="9201" max="9201" width="11.6640625" style="1" customWidth="1"/>
    <col min="9202" max="9202" width="7.6640625" style="1" customWidth="1"/>
    <col min="9203" max="9203" width="1.6640625" style="1" customWidth="1"/>
    <col min="9204" max="9204" width="34.6640625" style="1" customWidth="1"/>
    <col min="9205" max="9205" width="1.6640625" style="1" customWidth="1"/>
    <col min="9206" max="9206" width="25.6640625" style="1" customWidth="1"/>
    <col min="9207" max="9207" width="1.6640625" style="1" customWidth="1"/>
    <col min="9208" max="9208" width="6.5546875" style="1" bestFit="1" customWidth="1"/>
    <col min="9209" max="9455" width="8.6640625" style="1"/>
    <col min="9456" max="9456" width="3.6640625" style="1" customWidth="1"/>
    <col min="9457" max="9457" width="11.6640625" style="1" customWidth="1"/>
    <col min="9458" max="9458" width="7.6640625" style="1" customWidth="1"/>
    <col min="9459" max="9459" width="1.6640625" style="1" customWidth="1"/>
    <col min="9460" max="9460" width="34.6640625" style="1" customWidth="1"/>
    <col min="9461" max="9461" width="1.6640625" style="1" customWidth="1"/>
    <col min="9462" max="9462" width="25.6640625" style="1" customWidth="1"/>
    <col min="9463" max="9463" width="1.6640625" style="1" customWidth="1"/>
    <col min="9464" max="9464" width="6.5546875" style="1" bestFit="1" customWidth="1"/>
    <col min="9465" max="9711" width="8.6640625" style="1"/>
    <col min="9712" max="9712" width="3.6640625" style="1" customWidth="1"/>
    <col min="9713" max="9713" width="11.6640625" style="1" customWidth="1"/>
    <col min="9714" max="9714" width="7.6640625" style="1" customWidth="1"/>
    <col min="9715" max="9715" width="1.6640625" style="1" customWidth="1"/>
    <col min="9716" max="9716" width="34.6640625" style="1" customWidth="1"/>
    <col min="9717" max="9717" width="1.6640625" style="1" customWidth="1"/>
    <col min="9718" max="9718" width="25.6640625" style="1" customWidth="1"/>
    <col min="9719" max="9719" width="1.6640625" style="1" customWidth="1"/>
    <col min="9720" max="9720" width="6.5546875" style="1" bestFit="1" customWidth="1"/>
    <col min="9721" max="9967" width="8.6640625" style="1"/>
    <col min="9968" max="9968" width="3.6640625" style="1" customWidth="1"/>
    <col min="9969" max="9969" width="11.6640625" style="1" customWidth="1"/>
    <col min="9970" max="9970" width="7.6640625" style="1" customWidth="1"/>
    <col min="9971" max="9971" width="1.6640625" style="1" customWidth="1"/>
    <col min="9972" max="9972" width="34.6640625" style="1" customWidth="1"/>
    <col min="9973" max="9973" width="1.6640625" style="1" customWidth="1"/>
    <col min="9974" max="9974" width="25.6640625" style="1" customWidth="1"/>
    <col min="9975" max="9975" width="1.6640625" style="1" customWidth="1"/>
    <col min="9976" max="9976" width="6.5546875" style="1" bestFit="1" customWidth="1"/>
    <col min="9977" max="10223" width="8.6640625" style="1"/>
    <col min="10224" max="10224" width="3.6640625" style="1" customWidth="1"/>
    <col min="10225" max="10225" width="11.6640625" style="1" customWidth="1"/>
    <col min="10226" max="10226" width="7.6640625" style="1" customWidth="1"/>
    <col min="10227" max="10227" width="1.6640625" style="1" customWidth="1"/>
    <col min="10228" max="10228" width="34.6640625" style="1" customWidth="1"/>
    <col min="10229" max="10229" width="1.6640625" style="1" customWidth="1"/>
    <col min="10230" max="10230" width="25.6640625" style="1" customWidth="1"/>
    <col min="10231" max="10231" width="1.6640625" style="1" customWidth="1"/>
    <col min="10232" max="10232" width="6.5546875" style="1" bestFit="1" customWidth="1"/>
    <col min="10233" max="10479" width="8.6640625" style="1"/>
    <col min="10480" max="10480" width="3.6640625" style="1" customWidth="1"/>
    <col min="10481" max="10481" width="11.6640625" style="1" customWidth="1"/>
    <col min="10482" max="10482" width="7.6640625" style="1" customWidth="1"/>
    <col min="10483" max="10483" width="1.6640625" style="1" customWidth="1"/>
    <col min="10484" max="10484" width="34.6640625" style="1" customWidth="1"/>
    <col min="10485" max="10485" width="1.6640625" style="1" customWidth="1"/>
    <col min="10486" max="10486" width="25.6640625" style="1" customWidth="1"/>
    <col min="10487" max="10487" width="1.6640625" style="1" customWidth="1"/>
    <col min="10488" max="10488" width="6.5546875" style="1" bestFit="1" customWidth="1"/>
    <col min="10489" max="10735" width="8.6640625" style="1"/>
    <col min="10736" max="10736" width="3.6640625" style="1" customWidth="1"/>
    <col min="10737" max="10737" width="11.6640625" style="1" customWidth="1"/>
    <col min="10738" max="10738" width="7.6640625" style="1" customWidth="1"/>
    <col min="10739" max="10739" width="1.6640625" style="1" customWidth="1"/>
    <col min="10740" max="10740" width="34.6640625" style="1" customWidth="1"/>
    <col min="10741" max="10741" width="1.6640625" style="1" customWidth="1"/>
    <col min="10742" max="10742" width="25.6640625" style="1" customWidth="1"/>
    <col min="10743" max="10743" width="1.6640625" style="1" customWidth="1"/>
    <col min="10744" max="10744" width="6.5546875" style="1" bestFit="1" customWidth="1"/>
    <col min="10745" max="10991" width="8.6640625" style="1"/>
    <col min="10992" max="10992" width="3.6640625" style="1" customWidth="1"/>
    <col min="10993" max="10993" width="11.6640625" style="1" customWidth="1"/>
    <col min="10994" max="10994" width="7.6640625" style="1" customWidth="1"/>
    <col min="10995" max="10995" width="1.6640625" style="1" customWidth="1"/>
    <col min="10996" max="10996" width="34.6640625" style="1" customWidth="1"/>
    <col min="10997" max="10997" width="1.6640625" style="1" customWidth="1"/>
    <col min="10998" max="10998" width="25.6640625" style="1" customWidth="1"/>
    <col min="10999" max="10999" width="1.6640625" style="1" customWidth="1"/>
    <col min="11000" max="11000" width="6.5546875" style="1" bestFit="1" customWidth="1"/>
    <col min="11001" max="11247" width="8.6640625" style="1"/>
    <col min="11248" max="11248" width="3.6640625" style="1" customWidth="1"/>
    <col min="11249" max="11249" width="11.6640625" style="1" customWidth="1"/>
    <col min="11250" max="11250" width="7.6640625" style="1" customWidth="1"/>
    <col min="11251" max="11251" width="1.6640625" style="1" customWidth="1"/>
    <col min="11252" max="11252" width="34.6640625" style="1" customWidth="1"/>
    <col min="11253" max="11253" width="1.6640625" style="1" customWidth="1"/>
    <col min="11254" max="11254" width="25.6640625" style="1" customWidth="1"/>
    <col min="11255" max="11255" width="1.6640625" style="1" customWidth="1"/>
    <col min="11256" max="11256" width="6.5546875" style="1" bestFit="1" customWidth="1"/>
    <col min="11257" max="11503" width="8.6640625" style="1"/>
    <col min="11504" max="11504" width="3.6640625" style="1" customWidth="1"/>
    <col min="11505" max="11505" width="11.6640625" style="1" customWidth="1"/>
    <col min="11506" max="11506" width="7.6640625" style="1" customWidth="1"/>
    <col min="11507" max="11507" width="1.6640625" style="1" customWidth="1"/>
    <col min="11508" max="11508" width="34.6640625" style="1" customWidth="1"/>
    <col min="11509" max="11509" width="1.6640625" style="1" customWidth="1"/>
    <col min="11510" max="11510" width="25.6640625" style="1" customWidth="1"/>
    <col min="11511" max="11511" width="1.6640625" style="1" customWidth="1"/>
    <col min="11512" max="11512" width="6.5546875" style="1" bestFit="1" customWidth="1"/>
    <col min="11513" max="11759" width="8.6640625" style="1"/>
    <col min="11760" max="11760" width="3.6640625" style="1" customWidth="1"/>
    <col min="11761" max="11761" width="11.6640625" style="1" customWidth="1"/>
    <col min="11762" max="11762" width="7.6640625" style="1" customWidth="1"/>
    <col min="11763" max="11763" width="1.6640625" style="1" customWidth="1"/>
    <col min="11764" max="11764" width="34.6640625" style="1" customWidth="1"/>
    <col min="11765" max="11765" width="1.6640625" style="1" customWidth="1"/>
    <col min="11766" max="11766" width="25.6640625" style="1" customWidth="1"/>
    <col min="11767" max="11767" width="1.6640625" style="1" customWidth="1"/>
    <col min="11768" max="11768" width="6.5546875" style="1" bestFit="1" customWidth="1"/>
    <col min="11769" max="12015" width="8.6640625" style="1"/>
    <col min="12016" max="12016" width="3.6640625" style="1" customWidth="1"/>
    <col min="12017" max="12017" width="11.6640625" style="1" customWidth="1"/>
    <col min="12018" max="12018" width="7.6640625" style="1" customWidth="1"/>
    <col min="12019" max="12019" width="1.6640625" style="1" customWidth="1"/>
    <col min="12020" max="12020" width="34.6640625" style="1" customWidth="1"/>
    <col min="12021" max="12021" width="1.6640625" style="1" customWidth="1"/>
    <col min="12022" max="12022" width="25.6640625" style="1" customWidth="1"/>
    <col min="12023" max="12023" width="1.6640625" style="1" customWidth="1"/>
    <col min="12024" max="12024" width="6.5546875" style="1" bestFit="1" customWidth="1"/>
    <col min="12025" max="12271" width="8.6640625" style="1"/>
    <col min="12272" max="12272" width="3.6640625" style="1" customWidth="1"/>
    <col min="12273" max="12273" width="11.6640625" style="1" customWidth="1"/>
    <col min="12274" max="12274" width="7.6640625" style="1" customWidth="1"/>
    <col min="12275" max="12275" width="1.6640625" style="1" customWidth="1"/>
    <col min="12276" max="12276" width="34.6640625" style="1" customWidth="1"/>
    <col min="12277" max="12277" width="1.6640625" style="1" customWidth="1"/>
    <col min="12278" max="12278" width="25.6640625" style="1" customWidth="1"/>
    <col min="12279" max="12279" width="1.6640625" style="1" customWidth="1"/>
    <col min="12280" max="12280" width="6.5546875" style="1" bestFit="1" customWidth="1"/>
    <col min="12281" max="12527" width="8.6640625" style="1"/>
    <col min="12528" max="12528" width="3.6640625" style="1" customWidth="1"/>
    <col min="12529" max="12529" width="11.6640625" style="1" customWidth="1"/>
    <col min="12530" max="12530" width="7.6640625" style="1" customWidth="1"/>
    <col min="12531" max="12531" width="1.6640625" style="1" customWidth="1"/>
    <col min="12532" max="12532" width="34.6640625" style="1" customWidth="1"/>
    <col min="12533" max="12533" width="1.6640625" style="1" customWidth="1"/>
    <col min="12534" max="12534" width="25.6640625" style="1" customWidth="1"/>
    <col min="12535" max="12535" width="1.6640625" style="1" customWidth="1"/>
    <col min="12536" max="12536" width="6.5546875" style="1" bestFit="1" customWidth="1"/>
    <col min="12537" max="12783" width="8.6640625" style="1"/>
    <col min="12784" max="12784" width="3.6640625" style="1" customWidth="1"/>
    <col min="12785" max="12785" width="11.6640625" style="1" customWidth="1"/>
    <col min="12786" max="12786" width="7.6640625" style="1" customWidth="1"/>
    <col min="12787" max="12787" width="1.6640625" style="1" customWidth="1"/>
    <col min="12788" max="12788" width="34.6640625" style="1" customWidth="1"/>
    <col min="12789" max="12789" width="1.6640625" style="1" customWidth="1"/>
    <col min="12790" max="12790" width="25.6640625" style="1" customWidth="1"/>
    <col min="12791" max="12791" width="1.6640625" style="1" customWidth="1"/>
    <col min="12792" max="12792" width="6.5546875" style="1" bestFit="1" customWidth="1"/>
    <col min="12793" max="13039" width="8.6640625" style="1"/>
    <col min="13040" max="13040" width="3.6640625" style="1" customWidth="1"/>
    <col min="13041" max="13041" width="11.6640625" style="1" customWidth="1"/>
    <col min="13042" max="13042" width="7.6640625" style="1" customWidth="1"/>
    <col min="13043" max="13043" width="1.6640625" style="1" customWidth="1"/>
    <col min="13044" max="13044" width="34.6640625" style="1" customWidth="1"/>
    <col min="13045" max="13045" width="1.6640625" style="1" customWidth="1"/>
    <col min="13046" max="13046" width="25.6640625" style="1" customWidth="1"/>
    <col min="13047" max="13047" width="1.6640625" style="1" customWidth="1"/>
    <col min="13048" max="13048" width="6.5546875" style="1" bestFit="1" customWidth="1"/>
    <col min="13049" max="13295" width="8.6640625" style="1"/>
    <col min="13296" max="13296" width="3.6640625" style="1" customWidth="1"/>
    <col min="13297" max="13297" width="11.6640625" style="1" customWidth="1"/>
    <col min="13298" max="13298" width="7.6640625" style="1" customWidth="1"/>
    <col min="13299" max="13299" width="1.6640625" style="1" customWidth="1"/>
    <col min="13300" max="13300" width="34.6640625" style="1" customWidth="1"/>
    <col min="13301" max="13301" width="1.6640625" style="1" customWidth="1"/>
    <col min="13302" max="13302" width="25.6640625" style="1" customWidth="1"/>
    <col min="13303" max="13303" width="1.6640625" style="1" customWidth="1"/>
    <col min="13304" max="13304" width="6.5546875" style="1" bestFit="1" customWidth="1"/>
    <col min="13305" max="13551" width="8.6640625" style="1"/>
    <col min="13552" max="13552" width="3.6640625" style="1" customWidth="1"/>
    <col min="13553" max="13553" width="11.6640625" style="1" customWidth="1"/>
    <col min="13554" max="13554" width="7.6640625" style="1" customWidth="1"/>
    <col min="13555" max="13555" width="1.6640625" style="1" customWidth="1"/>
    <col min="13556" max="13556" width="34.6640625" style="1" customWidth="1"/>
    <col min="13557" max="13557" width="1.6640625" style="1" customWidth="1"/>
    <col min="13558" max="13558" width="25.6640625" style="1" customWidth="1"/>
    <col min="13559" max="13559" width="1.6640625" style="1" customWidth="1"/>
    <col min="13560" max="13560" width="6.5546875" style="1" bestFit="1" customWidth="1"/>
    <col min="13561" max="13807" width="8.6640625" style="1"/>
    <col min="13808" max="13808" width="3.6640625" style="1" customWidth="1"/>
    <col min="13809" max="13809" width="11.6640625" style="1" customWidth="1"/>
    <col min="13810" max="13810" width="7.6640625" style="1" customWidth="1"/>
    <col min="13811" max="13811" width="1.6640625" style="1" customWidth="1"/>
    <col min="13812" max="13812" width="34.6640625" style="1" customWidth="1"/>
    <col min="13813" max="13813" width="1.6640625" style="1" customWidth="1"/>
    <col min="13814" max="13814" width="25.6640625" style="1" customWidth="1"/>
    <col min="13815" max="13815" width="1.6640625" style="1" customWidth="1"/>
    <col min="13816" max="13816" width="6.5546875" style="1" bestFit="1" customWidth="1"/>
    <col min="13817" max="14063" width="8.6640625" style="1"/>
    <col min="14064" max="14064" width="3.6640625" style="1" customWidth="1"/>
    <col min="14065" max="14065" width="11.6640625" style="1" customWidth="1"/>
    <col min="14066" max="14066" width="7.6640625" style="1" customWidth="1"/>
    <col min="14067" max="14067" width="1.6640625" style="1" customWidth="1"/>
    <col min="14068" max="14068" width="34.6640625" style="1" customWidth="1"/>
    <col min="14069" max="14069" width="1.6640625" style="1" customWidth="1"/>
    <col min="14070" max="14070" width="25.6640625" style="1" customWidth="1"/>
    <col min="14071" max="14071" width="1.6640625" style="1" customWidth="1"/>
    <col min="14072" max="14072" width="6.5546875" style="1" bestFit="1" customWidth="1"/>
    <col min="14073" max="14319" width="8.6640625" style="1"/>
    <col min="14320" max="14320" width="3.6640625" style="1" customWidth="1"/>
    <col min="14321" max="14321" width="11.6640625" style="1" customWidth="1"/>
    <col min="14322" max="14322" width="7.6640625" style="1" customWidth="1"/>
    <col min="14323" max="14323" width="1.6640625" style="1" customWidth="1"/>
    <col min="14324" max="14324" width="34.6640625" style="1" customWidth="1"/>
    <col min="14325" max="14325" width="1.6640625" style="1" customWidth="1"/>
    <col min="14326" max="14326" width="25.6640625" style="1" customWidth="1"/>
    <col min="14327" max="14327" width="1.6640625" style="1" customWidth="1"/>
    <col min="14328" max="14328" width="6.5546875" style="1" bestFit="1" customWidth="1"/>
    <col min="14329" max="14575" width="8.6640625" style="1"/>
    <col min="14576" max="14576" width="3.6640625" style="1" customWidth="1"/>
    <col min="14577" max="14577" width="11.6640625" style="1" customWidth="1"/>
    <col min="14578" max="14578" width="7.6640625" style="1" customWidth="1"/>
    <col min="14579" max="14579" width="1.6640625" style="1" customWidth="1"/>
    <col min="14580" max="14580" width="34.6640625" style="1" customWidth="1"/>
    <col min="14581" max="14581" width="1.6640625" style="1" customWidth="1"/>
    <col min="14582" max="14582" width="25.6640625" style="1" customWidth="1"/>
    <col min="14583" max="14583" width="1.6640625" style="1" customWidth="1"/>
    <col min="14584" max="14584" width="6.5546875" style="1" bestFit="1" customWidth="1"/>
    <col min="14585" max="14831" width="8.6640625" style="1"/>
    <col min="14832" max="14832" width="3.6640625" style="1" customWidth="1"/>
    <col min="14833" max="14833" width="11.6640625" style="1" customWidth="1"/>
    <col min="14834" max="14834" width="7.6640625" style="1" customWidth="1"/>
    <col min="14835" max="14835" width="1.6640625" style="1" customWidth="1"/>
    <col min="14836" max="14836" width="34.6640625" style="1" customWidth="1"/>
    <col min="14837" max="14837" width="1.6640625" style="1" customWidth="1"/>
    <col min="14838" max="14838" width="25.6640625" style="1" customWidth="1"/>
    <col min="14839" max="14839" width="1.6640625" style="1" customWidth="1"/>
    <col min="14840" max="14840" width="6.5546875" style="1" bestFit="1" customWidth="1"/>
    <col min="14841" max="15087" width="8.6640625" style="1"/>
    <col min="15088" max="15088" width="3.6640625" style="1" customWidth="1"/>
    <col min="15089" max="15089" width="11.6640625" style="1" customWidth="1"/>
    <col min="15090" max="15090" width="7.6640625" style="1" customWidth="1"/>
    <col min="15091" max="15091" width="1.6640625" style="1" customWidth="1"/>
    <col min="15092" max="15092" width="34.6640625" style="1" customWidth="1"/>
    <col min="15093" max="15093" width="1.6640625" style="1" customWidth="1"/>
    <col min="15094" max="15094" width="25.6640625" style="1" customWidth="1"/>
    <col min="15095" max="15095" width="1.6640625" style="1" customWidth="1"/>
    <col min="15096" max="15096" width="6.5546875" style="1" bestFit="1" customWidth="1"/>
    <col min="15097" max="15343" width="8.6640625" style="1"/>
    <col min="15344" max="15344" width="3.6640625" style="1" customWidth="1"/>
    <col min="15345" max="15345" width="11.6640625" style="1" customWidth="1"/>
    <col min="15346" max="15346" width="7.6640625" style="1" customWidth="1"/>
    <col min="15347" max="15347" width="1.6640625" style="1" customWidth="1"/>
    <col min="15348" max="15348" width="34.6640625" style="1" customWidth="1"/>
    <col min="15349" max="15349" width="1.6640625" style="1" customWidth="1"/>
    <col min="15350" max="15350" width="25.6640625" style="1" customWidth="1"/>
    <col min="15351" max="15351" width="1.6640625" style="1" customWidth="1"/>
    <col min="15352" max="15352" width="6.5546875" style="1" bestFit="1" customWidth="1"/>
    <col min="15353" max="15599" width="8.6640625" style="1"/>
    <col min="15600" max="15600" width="3.6640625" style="1" customWidth="1"/>
    <col min="15601" max="15601" width="11.6640625" style="1" customWidth="1"/>
    <col min="15602" max="15602" width="7.6640625" style="1" customWidth="1"/>
    <col min="15603" max="15603" width="1.6640625" style="1" customWidth="1"/>
    <col min="15604" max="15604" width="34.6640625" style="1" customWidth="1"/>
    <col min="15605" max="15605" width="1.6640625" style="1" customWidth="1"/>
    <col min="15606" max="15606" width="25.6640625" style="1" customWidth="1"/>
    <col min="15607" max="15607" width="1.6640625" style="1" customWidth="1"/>
    <col min="15608" max="15608" width="6.5546875" style="1" bestFit="1" customWidth="1"/>
    <col min="15609" max="15855" width="8.6640625" style="1"/>
    <col min="15856" max="15856" width="3.6640625" style="1" customWidth="1"/>
    <col min="15857" max="15857" width="11.6640625" style="1" customWidth="1"/>
    <col min="15858" max="15858" width="7.6640625" style="1" customWidth="1"/>
    <col min="15859" max="15859" width="1.6640625" style="1" customWidth="1"/>
    <col min="15860" max="15860" width="34.6640625" style="1" customWidth="1"/>
    <col min="15861" max="15861" width="1.6640625" style="1" customWidth="1"/>
    <col min="15862" max="15862" width="25.6640625" style="1" customWidth="1"/>
    <col min="15863" max="15863" width="1.6640625" style="1" customWidth="1"/>
    <col min="15864" max="15864" width="6.5546875" style="1" bestFit="1" customWidth="1"/>
    <col min="15865" max="16111" width="8.6640625" style="1"/>
    <col min="16112" max="16112" width="3.6640625" style="1" customWidth="1"/>
    <col min="16113" max="16113" width="11.6640625" style="1" customWidth="1"/>
    <col min="16114" max="16114" width="7.6640625" style="1" customWidth="1"/>
    <col min="16115" max="16115" width="1.6640625" style="1" customWidth="1"/>
    <col min="16116" max="16116" width="34.6640625" style="1" customWidth="1"/>
    <col min="16117" max="16117" width="1.6640625" style="1" customWidth="1"/>
    <col min="16118" max="16118" width="25.6640625" style="1" customWidth="1"/>
    <col min="16119" max="16119" width="1.6640625" style="1" customWidth="1"/>
    <col min="16120" max="16120" width="6.5546875" style="1" bestFit="1" customWidth="1"/>
    <col min="16121" max="16384" width="8.6640625" style="1"/>
  </cols>
  <sheetData>
    <row r="1" spans="1:8" ht="11.25" customHeight="1" x14ac:dyDescent="0.25">
      <c r="A1" s="127" t="s">
        <v>41</v>
      </c>
      <c r="B1" s="132"/>
      <c r="C1" s="132"/>
      <c r="D1" s="132"/>
      <c r="E1" s="132"/>
      <c r="F1" s="132"/>
      <c r="G1" s="132"/>
      <c r="H1" s="132"/>
    </row>
    <row r="2" spans="1:8" ht="11.25" customHeight="1" x14ac:dyDescent="0.25">
      <c r="A2" s="127" t="s">
        <v>42</v>
      </c>
      <c r="B2" s="132"/>
      <c r="C2" s="132"/>
      <c r="D2" s="132"/>
      <c r="E2" s="132"/>
      <c r="F2" s="132"/>
      <c r="G2" s="132"/>
      <c r="H2" s="132"/>
    </row>
    <row r="3" spans="1:8" ht="11.25" customHeight="1" x14ac:dyDescent="0.25">
      <c r="A3" s="132"/>
      <c r="B3" s="137"/>
      <c r="C3" s="137"/>
      <c r="D3" s="137"/>
      <c r="E3" s="137"/>
      <c r="F3" s="137"/>
      <c r="G3" s="137"/>
      <c r="H3" s="137"/>
    </row>
    <row r="4" spans="1:8" ht="11.25" customHeight="1" x14ac:dyDescent="0.25">
      <c r="A4" s="127" t="s">
        <v>97</v>
      </c>
      <c r="B4" s="132"/>
      <c r="C4" s="132"/>
      <c r="D4" s="132"/>
      <c r="E4" s="132"/>
      <c r="F4" s="132"/>
      <c r="G4" s="132"/>
      <c r="H4" s="132"/>
    </row>
    <row r="5" spans="1:8" ht="11.25" customHeight="1" x14ac:dyDescent="0.25">
      <c r="A5" s="133" t="s">
        <v>43</v>
      </c>
      <c r="B5" s="134"/>
      <c r="C5" s="134"/>
      <c r="D5" s="134"/>
      <c r="E5" s="134"/>
      <c r="F5" s="134"/>
      <c r="G5" s="134"/>
      <c r="H5" s="134"/>
    </row>
    <row r="6" spans="1:8" ht="11.25" customHeight="1" x14ac:dyDescent="0.25">
      <c r="A6" s="131"/>
      <c r="B6" s="131"/>
      <c r="C6" s="113"/>
      <c r="D6" s="38" t="s">
        <v>43</v>
      </c>
      <c r="E6" s="113"/>
      <c r="F6" s="115"/>
      <c r="G6" s="113"/>
      <c r="H6" s="38" t="s">
        <v>44</v>
      </c>
    </row>
    <row r="7" spans="1:8" ht="11.25" customHeight="1" x14ac:dyDescent="0.25">
      <c r="A7" s="128" t="s">
        <v>45</v>
      </c>
      <c r="B7" s="128"/>
      <c r="C7" s="39"/>
      <c r="D7" s="41" t="s">
        <v>46</v>
      </c>
      <c r="E7" s="39"/>
      <c r="F7" s="111" t="s">
        <v>47</v>
      </c>
      <c r="G7" s="109"/>
      <c r="H7" s="111" t="s">
        <v>48</v>
      </c>
    </row>
    <row r="8" spans="1:8" ht="11.25" customHeight="1" x14ac:dyDescent="0.25">
      <c r="A8" s="114" t="s">
        <v>49</v>
      </c>
      <c r="B8" s="42"/>
      <c r="C8" s="113"/>
      <c r="D8" s="43" t="s">
        <v>50</v>
      </c>
      <c r="E8" s="113"/>
      <c r="F8" s="116" t="s">
        <v>51</v>
      </c>
      <c r="G8" s="113"/>
      <c r="H8" s="44">
        <v>200</v>
      </c>
    </row>
    <row r="9" spans="1:8" ht="11.25" customHeight="1" x14ac:dyDescent="0.25">
      <c r="A9" s="45"/>
      <c r="B9" s="46"/>
      <c r="C9" s="39"/>
      <c r="D9" s="47" t="s">
        <v>112</v>
      </c>
      <c r="E9" s="39"/>
      <c r="F9" s="39"/>
      <c r="G9" s="39"/>
      <c r="H9" s="48"/>
    </row>
    <row r="10" spans="1:8" s="4" customFormat="1" ht="11.25" customHeight="1" x14ac:dyDescent="0.25">
      <c r="A10" s="116" t="s">
        <v>53</v>
      </c>
      <c r="B10" s="49"/>
      <c r="C10" s="49"/>
      <c r="D10" s="50" t="s">
        <v>165</v>
      </c>
      <c r="E10" s="49"/>
      <c r="F10" s="106" t="s">
        <v>142</v>
      </c>
      <c r="G10" s="49"/>
      <c r="H10" s="52">
        <v>1500</v>
      </c>
    </row>
    <row r="11" spans="1:8" s="4" customFormat="1" ht="11.25" customHeight="1" x14ac:dyDescent="0.25">
      <c r="A11" s="53"/>
      <c r="B11" s="53"/>
      <c r="C11" s="53"/>
      <c r="D11" s="54" t="s">
        <v>166</v>
      </c>
      <c r="E11" s="53"/>
      <c r="F11" s="53"/>
      <c r="G11" s="49"/>
      <c r="H11" s="49"/>
    </row>
    <row r="12" spans="1:8" s="4" customFormat="1" ht="11.25" customHeight="1" x14ac:dyDescent="0.25">
      <c r="A12" s="53"/>
      <c r="B12" s="53"/>
      <c r="C12" s="53"/>
      <c r="D12" s="54" t="s">
        <v>167</v>
      </c>
      <c r="E12" s="53"/>
      <c r="F12" s="53"/>
      <c r="G12" s="49"/>
      <c r="H12" s="49"/>
    </row>
    <row r="13" spans="1:8" s="4" customFormat="1" ht="11.25" customHeight="1" x14ac:dyDescent="0.25">
      <c r="A13" s="53"/>
      <c r="B13" s="53"/>
      <c r="C13" s="53"/>
      <c r="D13" s="54" t="s">
        <v>168</v>
      </c>
      <c r="E13" s="53"/>
      <c r="F13" s="53"/>
      <c r="G13" s="53"/>
      <c r="H13" s="55"/>
    </row>
    <row r="14" spans="1:8" s="4" customFormat="1" ht="11.25" customHeight="1" x14ac:dyDescent="0.25">
      <c r="A14" s="23" t="s">
        <v>57</v>
      </c>
      <c r="B14" s="34"/>
      <c r="C14" s="34"/>
      <c r="D14" s="23" t="s">
        <v>27</v>
      </c>
      <c r="E14" s="34"/>
      <c r="F14" s="57" t="s">
        <v>145</v>
      </c>
      <c r="G14" s="34"/>
      <c r="H14" s="58">
        <v>1000</v>
      </c>
    </row>
    <row r="15" spans="1:8" ht="11.25" customHeight="1" x14ac:dyDescent="0.25">
      <c r="A15" s="59" t="s">
        <v>57</v>
      </c>
      <c r="B15" s="113"/>
      <c r="C15" s="113"/>
      <c r="D15" s="59" t="s">
        <v>27</v>
      </c>
      <c r="E15" s="113"/>
      <c r="F15" s="116" t="s">
        <v>169</v>
      </c>
      <c r="G15" s="113"/>
      <c r="H15" s="44">
        <v>1500</v>
      </c>
    </row>
    <row r="16" spans="1:8" s="105" customFormat="1" ht="11.25" customHeight="1" x14ac:dyDescent="0.25">
      <c r="A16" s="60"/>
      <c r="B16" s="39"/>
      <c r="C16" s="39"/>
      <c r="D16" s="60"/>
      <c r="E16" s="39"/>
      <c r="F16" s="60" t="s">
        <v>170</v>
      </c>
      <c r="G16" s="39"/>
      <c r="H16" s="48"/>
    </row>
    <row r="17" spans="1:8" ht="11.25" customHeight="1" x14ac:dyDescent="0.25">
      <c r="A17" s="23" t="s">
        <v>57</v>
      </c>
      <c r="B17" s="56"/>
      <c r="C17" s="56"/>
      <c r="D17" s="23" t="s">
        <v>27</v>
      </c>
      <c r="E17" s="56"/>
      <c r="F17" s="57" t="s">
        <v>60</v>
      </c>
      <c r="G17" s="56"/>
      <c r="H17" s="58">
        <v>330</v>
      </c>
    </row>
    <row r="18" spans="1:8" ht="11.25" customHeight="1" x14ac:dyDescent="0.25">
      <c r="A18" s="59" t="s">
        <v>57</v>
      </c>
      <c r="B18" s="35"/>
      <c r="C18" s="35"/>
      <c r="D18" s="43" t="s">
        <v>58</v>
      </c>
      <c r="E18" s="35"/>
      <c r="F18" s="114" t="s">
        <v>59</v>
      </c>
      <c r="G18" s="115"/>
      <c r="H18" s="44">
        <v>2800</v>
      </c>
    </row>
    <row r="19" spans="1:8" ht="11.25" customHeight="1" x14ac:dyDescent="0.25">
      <c r="A19" s="45"/>
      <c r="B19" s="45"/>
      <c r="C19" s="45"/>
      <c r="D19" s="5"/>
      <c r="E19" s="45"/>
      <c r="F19" s="60" t="s">
        <v>175</v>
      </c>
      <c r="G19" s="6"/>
      <c r="H19" s="48"/>
    </row>
    <row r="20" spans="1:8" ht="11.25" customHeight="1" x14ac:dyDescent="0.25">
      <c r="A20" s="59" t="s">
        <v>57</v>
      </c>
      <c r="B20" s="113"/>
      <c r="C20" s="113"/>
      <c r="D20" s="43" t="s">
        <v>54</v>
      </c>
      <c r="E20" s="113"/>
      <c r="F20" s="116" t="s">
        <v>55</v>
      </c>
      <c r="G20" s="113"/>
      <c r="H20" s="52">
        <v>1200</v>
      </c>
    </row>
    <row r="21" spans="1:8" ht="11.25" customHeight="1" x14ac:dyDescent="0.25">
      <c r="A21" s="45"/>
      <c r="B21" s="49"/>
      <c r="C21" s="49"/>
      <c r="D21" s="54" t="s">
        <v>56</v>
      </c>
      <c r="E21" s="49"/>
      <c r="F21" s="49"/>
      <c r="G21" s="49"/>
      <c r="H21" s="52"/>
    </row>
    <row r="22" spans="1:8" ht="11.25" customHeight="1" x14ac:dyDescent="0.25">
      <c r="A22" s="23" t="s">
        <v>57</v>
      </c>
      <c r="B22" s="56"/>
      <c r="C22" s="56"/>
      <c r="D22" s="61" t="s">
        <v>27</v>
      </c>
      <c r="E22" s="56"/>
      <c r="F22" s="57" t="s">
        <v>136</v>
      </c>
      <c r="G22" s="56"/>
      <c r="H22" s="58">
        <v>1000</v>
      </c>
    </row>
    <row r="23" spans="1:8" ht="11.25" customHeight="1" x14ac:dyDescent="0.25">
      <c r="A23" s="114" t="s">
        <v>135</v>
      </c>
      <c r="B23" s="113"/>
      <c r="C23" s="113"/>
      <c r="D23" s="114" t="s">
        <v>218</v>
      </c>
      <c r="E23" s="113"/>
      <c r="F23" s="116" t="s">
        <v>137</v>
      </c>
      <c r="G23" s="113"/>
      <c r="H23" s="30" t="s">
        <v>91</v>
      </c>
    </row>
    <row r="24" spans="1:8" ht="11.25" customHeight="1" x14ac:dyDescent="0.25">
      <c r="A24" s="51"/>
      <c r="B24" s="49"/>
      <c r="C24" s="49"/>
      <c r="D24" s="53"/>
      <c r="E24" s="49"/>
      <c r="F24" s="88" t="s">
        <v>173</v>
      </c>
      <c r="G24" s="49"/>
      <c r="H24" s="52"/>
    </row>
    <row r="25" spans="1:8" ht="11.25" customHeight="1" x14ac:dyDescent="0.25">
      <c r="A25" s="6"/>
      <c r="B25" s="39"/>
      <c r="C25" s="39"/>
      <c r="D25" s="45"/>
      <c r="E25" s="39"/>
      <c r="F25" s="60" t="s">
        <v>174</v>
      </c>
      <c r="G25" s="39"/>
      <c r="H25" s="48"/>
    </row>
    <row r="26" spans="1:8" s="4" customFormat="1" ht="11.25" customHeight="1" x14ac:dyDescent="0.25">
      <c r="A26" s="106" t="s">
        <v>64</v>
      </c>
      <c r="B26" s="49"/>
      <c r="C26" s="49"/>
      <c r="D26" s="50" t="s">
        <v>171</v>
      </c>
      <c r="E26" s="49"/>
      <c r="F26" s="62" t="s">
        <v>65</v>
      </c>
      <c r="G26" s="49"/>
      <c r="H26" s="52">
        <v>1000</v>
      </c>
    </row>
    <row r="27" spans="1:8" s="4" customFormat="1" ht="11.25" customHeight="1" x14ac:dyDescent="0.25">
      <c r="A27" s="51"/>
      <c r="B27" s="49"/>
      <c r="C27" s="49"/>
      <c r="D27" s="54" t="s">
        <v>166</v>
      </c>
      <c r="E27" s="49"/>
      <c r="F27" s="49"/>
      <c r="G27" s="49"/>
      <c r="H27" s="52"/>
    </row>
    <row r="28" spans="1:8" s="4" customFormat="1" ht="11.25" customHeight="1" x14ac:dyDescent="0.25">
      <c r="A28" s="51"/>
      <c r="B28" s="49"/>
      <c r="C28" s="49"/>
      <c r="D28" s="54" t="s">
        <v>172</v>
      </c>
      <c r="E28" s="49"/>
      <c r="F28" s="49"/>
      <c r="G28" s="49"/>
      <c r="H28" s="52"/>
    </row>
    <row r="29" spans="1:8" s="4" customFormat="1" ht="11.25" customHeight="1" x14ac:dyDescent="0.25">
      <c r="A29" s="51"/>
      <c r="B29" s="49"/>
      <c r="C29" s="49"/>
      <c r="D29" s="54" t="s">
        <v>168</v>
      </c>
      <c r="E29" s="49"/>
      <c r="F29" s="49"/>
      <c r="G29" s="49"/>
      <c r="H29" s="52"/>
    </row>
    <row r="30" spans="1:8" s="4" customFormat="1" ht="11.25" customHeight="1" x14ac:dyDescent="0.25">
      <c r="A30" s="23" t="s">
        <v>57</v>
      </c>
      <c r="B30" s="56"/>
      <c r="C30" s="56"/>
      <c r="D30" s="23" t="s">
        <v>27</v>
      </c>
      <c r="E30" s="56"/>
      <c r="F30" s="57" t="s">
        <v>141</v>
      </c>
      <c r="G30" s="56"/>
      <c r="H30" s="58">
        <v>9</v>
      </c>
    </row>
    <row r="31" spans="1:8" ht="11.25" customHeight="1" x14ac:dyDescent="0.25">
      <c r="A31" s="23" t="s">
        <v>57</v>
      </c>
      <c r="B31" s="56"/>
      <c r="C31" s="56"/>
      <c r="D31" s="64" t="s">
        <v>58</v>
      </c>
      <c r="E31" s="56"/>
      <c r="F31" s="22" t="s">
        <v>66</v>
      </c>
      <c r="G31" s="56"/>
      <c r="H31" s="58">
        <v>35</v>
      </c>
    </row>
    <row r="32" spans="1:8" ht="11.25" customHeight="1" x14ac:dyDescent="0.25">
      <c r="A32" s="57" t="s">
        <v>7</v>
      </c>
      <c r="B32" s="49"/>
      <c r="C32" s="49"/>
      <c r="D32" s="3"/>
      <c r="E32" s="49"/>
      <c r="F32" s="49"/>
      <c r="G32" s="49"/>
      <c r="H32" s="52"/>
    </row>
    <row r="33" spans="1:8" ht="11.25" customHeight="1" x14ac:dyDescent="0.25">
      <c r="A33" s="23" t="s">
        <v>67</v>
      </c>
      <c r="B33" s="113"/>
      <c r="C33" s="49"/>
      <c r="D33" s="3"/>
      <c r="E33" s="49"/>
      <c r="F33" s="49"/>
      <c r="G33" s="49"/>
      <c r="H33" s="52"/>
    </row>
    <row r="34" spans="1:8" ht="11.25" customHeight="1" x14ac:dyDescent="0.25">
      <c r="A34" s="28" t="s">
        <v>68</v>
      </c>
      <c r="B34" s="56"/>
      <c r="C34" s="39"/>
      <c r="D34" s="65" t="s">
        <v>62</v>
      </c>
      <c r="E34" s="39"/>
      <c r="F34" s="63" t="s">
        <v>132</v>
      </c>
      <c r="G34" s="39"/>
      <c r="H34" s="48">
        <v>1100</v>
      </c>
    </row>
    <row r="35" spans="1:8" ht="11.25" customHeight="1" x14ac:dyDescent="0.25">
      <c r="A35" s="28" t="s">
        <v>69</v>
      </c>
      <c r="B35" s="56"/>
      <c r="C35" s="39"/>
      <c r="D35" s="23" t="s">
        <v>27</v>
      </c>
      <c r="E35" s="56"/>
      <c r="F35" s="23" t="s">
        <v>27</v>
      </c>
      <c r="G35" s="39"/>
      <c r="H35" s="48">
        <v>650</v>
      </c>
    </row>
    <row r="36" spans="1:8" ht="11.25" customHeight="1" x14ac:dyDescent="0.25">
      <c r="A36" s="23" t="s">
        <v>70</v>
      </c>
      <c r="B36" s="113"/>
      <c r="C36" s="113"/>
      <c r="D36" s="2"/>
      <c r="E36" s="113"/>
      <c r="F36" s="113"/>
      <c r="G36" s="113"/>
      <c r="H36" s="44"/>
    </row>
    <row r="37" spans="1:8" ht="11.25" customHeight="1" x14ac:dyDescent="0.25">
      <c r="A37" s="28" t="s">
        <v>71</v>
      </c>
      <c r="B37" s="56"/>
      <c r="C37" s="39"/>
      <c r="D37" s="60" t="s">
        <v>27</v>
      </c>
      <c r="E37" s="39"/>
      <c r="F37" s="60" t="s">
        <v>27</v>
      </c>
      <c r="G37" s="39"/>
      <c r="H37" s="48">
        <v>1750</v>
      </c>
    </row>
    <row r="38" spans="1:8" ht="11.25" customHeight="1" x14ac:dyDescent="0.25">
      <c r="A38" s="28" t="s">
        <v>72</v>
      </c>
      <c r="B38" s="113"/>
      <c r="C38" s="113"/>
      <c r="D38" s="2"/>
      <c r="E38" s="113"/>
      <c r="F38" s="113"/>
      <c r="G38" s="113"/>
      <c r="H38" s="44"/>
    </row>
    <row r="39" spans="1:8" ht="11.25" customHeight="1" x14ac:dyDescent="0.25">
      <c r="A39" s="66" t="s">
        <v>73</v>
      </c>
      <c r="B39" s="56"/>
      <c r="C39" s="39"/>
      <c r="D39" s="60" t="s">
        <v>27</v>
      </c>
      <c r="E39" s="39"/>
      <c r="F39" s="60" t="s">
        <v>27</v>
      </c>
      <c r="G39" s="39"/>
      <c r="H39" s="48">
        <v>800</v>
      </c>
    </row>
    <row r="40" spans="1:8" ht="11.25" customHeight="1" x14ac:dyDescent="0.25">
      <c r="A40" s="66" t="s">
        <v>74</v>
      </c>
      <c r="B40" s="56"/>
      <c r="C40" s="56"/>
      <c r="D40" s="23" t="s">
        <v>27</v>
      </c>
      <c r="E40" s="56"/>
      <c r="F40" s="23" t="s">
        <v>27</v>
      </c>
      <c r="G40" s="56"/>
      <c r="H40" s="58">
        <v>140</v>
      </c>
    </row>
    <row r="41" spans="1:8" ht="11.25" customHeight="1" x14ac:dyDescent="0.25">
      <c r="A41" s="66" t="s">
        <v>75</v>
      </c>
      <c r="B41" s="56"/>
      <c r="C41" s="56"/>
      <c r="D41" s="23" t="s">
        <v>27</v>
      </c>
      <c r="E41" s="56"/>
      <c r="F41" s="23" t="s">
        <v>27</v>
      </c>
      <c r="G41" s="56"/>
      <c r="H41" s="58">
        <v>580</v>
      </c>
    </row>
    <row r="42" spans="1:8" ht="11.25" customHeight="1" x14ac:dyDescent="0.25">
      <c r="A42" s="29" t="s">
        <v>76</v>
      </c>
      <c r="B42" s="113"/>
      <c r="C42" s="113"/>
      <c r="D42" s="23" t="s">
        <v>27</v>
      </c>
      <c r="E42" s="56"/>
      <c r="F42" s="23" t="s">
        <v>27</v>
      </c>
      <c r="G42" s="113"/>
      <c r="H42" s="44">
        <v>80</v>
      </c>
    </row>
    <row r="43" spans="1:8" ht="11.25" customHeight="1" x14ac:dyDescent="0.25">
      <c r="A43" s="29" t="s">
        <v>77</v>
      </c>
      <c r="B43" s="113"/>
      <c r="C43" s="113"/>
      <c r="D43" s="23" t="s">
        <v>27</v>
      </c>
      <c r="E43" s="56"/>
      <c r="F43" s="23" t="s">
        <v>27</v>
      </c>
      <c r="G43" s="113"/>
      <c r="H43" s="44">
        <v>40</v>
      </c>
    </row>
    <row r="44" spans="1:8" s="4" customFormat="1" ht="11.25" customHeight="1" x14ac:dyDescent="0.25">
      <c r="A44" s="114" t="s">
        <v>134</v>
      </c>
      <c r="B44" s="113"/>
      <c r="C44" s="113"/>
      <c r="D44" s="23" t="s">
        <v>27</v>
      </c>
      <c r="E44" s="49"/>
      <c r="F44" s="62" t="s">
        <v>61</v>
      </c>
      <c r="G44" s="56"/>
      <c r="H44" s="56">
        <v>200</v>
      </c>
    </row>
    <row r="45" spans="1:8" s="4" customFormat="1" ht="11.25" customHeight="1" x14ac:dyDescent="0.25">
      <c r="A45" s="23" t="s">
        <v>57</v>
      </c>
      <c r="B45" s="56"/>
      <c r="C45" s="56"/>
      <c r="D45" s="23" t="s">
        <v>27</v>
      </c>
      <c r="E45" s="56"/>
      <c r="F45" s="116" t="s">
        <v>63</v>
      </c>
      <c r="G45" s="113"/>
      <c r="H45" s="44">
        <v>88</v>
      </c>
    </row>
    <row r="46" spans="1:8" ht="11.25" customHeight="1" x14ac:dyDescent="0.25">
      <c r="A46" s="57" t="s">
        <v>22</v>
      </c>
      <c r="B46" s="56"/>
      <c r="C46" s="56"/>
      <c r="D46" s="64" t="s">
        <v>78</v>
      </c>
      <c r="E46" s="56"/>
      <c r="F46" s="57" t="s">
        <v>79</v>
      </c>
      <c r="G46" s="56"/>
      <c r="H46" s="58">
        <v>680</v>
      </c>
    </row>
    <row r="47" spans="1:8" s="8" customFormat="1" ht="11.25" customHeight="1" x14ac:dyDescent="0.25">
      <c r="A47" s="67" t="s">
        <v>154</v>
      </c>
      <c r="B47" s="68" t="s">
        <v>80</v>
      </c>
      <c r="C47" s="69"/>
      <c r="D47" s="69" t="s">
        <v>84</v>
      </c>
      <c r="E47" s="69"/>
      <c r="F47" s="70" t="s">
        <v>85</v>
      </c>
      <c r="G47" s="71"/>
      <c r="H47" s="72">
        <v>1137</v>
      </c>
    </row>
    <row r="48" spans="1:8" s="8" customFormat="1" ht="11.25" customHeight="1" x14ac:dyDescent="0.25">
      <c r="A48" s="73"/>
      <c r="B48" s="68" t="s">
        <v>82</v>
      </c>
      <c r="C48" s="69"/>
      <c r="D48" s="73" t="s">
        <v>86</v>
      </c>
      <c r="E48" s="69"/>
      <c r="F48" s="73" t="s">
        <v>155</v>
      </c>
      <c r="G48" s="71"/>
      <c r="H48" s="72"/>
    </row>
    <row r="49" spans="1:8" s="8" customFormat="1" ht="11.25" customHeight="1" x14ac:dyDescent="0.25">
      <c r="A49" s="74"/>
      <c r="B49" s="68"/>
      <c r="C49" s="69"/>
      <c r="D49" s="73"/>
      <c r="E49" s="69"/>
      <c r="F49" s="73" t="s">
        <v>156</v>
      </c>
      <c r="G49" s="71"/>
      <c r="H49" s="72"/>
    </row>
    <row r="50" spans="1:8" s="8" customFormat="1" ht="11.25" customHeight="1" x14ac:dyDescent="0.25">
      <c r="A50" s="37" t="s">
        <v>57</v>
      </c>
      <c r="B50" s="75" t="s">
        <v>27</v>
      </c>
      <c r="C50" s="76"/>
      <c r="D50" s="33" t="s">
        <v>81</v>
      </c>
      <c r="E50" s="76"/>
      <c r="F50" s="76" t="s">
        <v>181</v>
      </c>
      <c r="G50" s="77"/>
      <c r="H50" s="78">
        <v>10195</v>
      </c>
    </row>
    <row r="51" spans="1:8" s="8" customFormat="1" ht="11.25" customHeight="1" x14ac:dyDescent="0.25">
      <c r="A51" s="74"/>
      <c r="B51" s="79"/>
      <c r="C51" s="80"/>
      <c r="D51" s="14" t="s">
        <v>176</v>
      </c>
      <c r="E51" s="80"/>
      <c r="F51" s="74" t="s">
        <v>182</v>
      </c>
      <c r="G51" s="81"/>
      <c r="H51" s="82"/>
    </row>
    <row r="52" spans="1:8" s="8" customFormat="1" ht="11.25" customHeight="1" x14ac:dyDescent="0.25">
      <c r="A52" s="37" t="s">
        <v>57</v>
      </c>
      <c r="B52" s="83" t="s">
        <v>83</v>
      </c>
      <c r="C52" s="70"/>
      <c r="D52" s="7" t="s">
        <v>78</v>
      </c>
      <c r="E52" s="70"/>
      <c r="F52" s="70" t="s">
        <v>178</v>
      </c>
      <c r="G52" s="84"/>
      <c r="H52" s="72">
        <v>1300</v>
      </c>
    </row>
    <row r="53" spans="1:8" s="8" customFormat="1" ht="11.25" customHeight="1" x14ac:dyDescent="0.25">
      <c r="A53" s="10"/>
      <c r="B53" s="83"/>
      <c r="C53" s="70"/>
      <c r="D53" s="7"/>
      <c r="E53" s="70"/>
      <c r="F53" s="73" t="s">
        <v>179</v>
      </c>
      <c r="G53" s="84"/>
      <c r="H53" s="72"/>
    </row>
    <row r="54" spans="1:8" s="8" customFormat="1" ht="11.25" customHeight="1" x14ac:dyDescent="0.25">
      <c r="A54" s="11"/>
      <c r="B54" s="85"/>
      <c r="C54" s="86"/>
      <c r="D54" s="12"/>
      <c r="E54" s="86"/>
      <c r="F54" s="74" t="s">
        <v>180</v>
      </c>
      <c r="G54" s="87"/>
      <c r="H54" s="82"/>
    </row>
    <row r="55" spans="1:8" s="8" customFormat="1" ht="11.25" customHeight="1" x14ac:dyDescent="0.25">
      <c r="A55" s="37" t="s">
        <v>57</v>
      </c>
      <c r="B55" s="75" t="s">
        <v>27</v>
      </c>
      <c r="C55" s="76"/>
      <c r="D55" s="67" t="s">
        <v>89</v>
      </c>
      <c r="E55" s="76"/>
      <c r="F55" s="67" t="s">
        <v>90</v>
      </c>
      <c r="G55" s="77"/>
      <c r="H55" s="75" t="s">
        <v>91</v>
      </c>
    </row>
    <row r="56" spans="1:8" s="8" customFormat="1" ht="11.25" customHeight="1" x14ac:dyDescent="0.25">
      <c r="A56" s="70"/>
      <c r="B56" s="68"/>
      <c r="C56" s="69"/>
      <c r="D56" s="73" t="s">
        <v>92</v>
      </c>
      <c r="E56" s="69"/>
      <c r="F56" s="73" t="s">
        <v>177</v>
      </c>
      <c r="G56" s="71"/>
      <c r="H56" s="72"/>
    </row>
    <row r="57" spans="1:8" s="8" customFormat="1" ht="11.25" customHeight="1" x14ac:dyDescent="0.25">
      <c r="A57" s="11"/>
      <c r="B57" s="11"/>
      <c r="C57" s="80"/>
      <c r="D57" s="74" t="s">
        <v>93</v>
      </c>
      <c r="E57" s="80"/>
      <c r="F57" s="80"/>
      <c r="G57" s="81"/>
      <c r="H57" s="81"/>
    </row>
    <row r="58" spans="1:8" s="8" customFormat="1" ht="11.25" customHeight="1" x14ac:dyDescent="0.25">
      <c r="A58" s="37" t="s">
        <v>57</v>
      </c>
      <c r="B58" s="75" t="s">
        <v>27</v>
      </c>
      <c r="C58" s="76"/>
      <c r="D58" s="67" t="s">
        <v>148</v>
      </c>
      <c r="E58" s="76"/>
      <c r="F58" s="67" t="s">
        <v>87</v>
      </c>
      <c r="G58" s="77"/>
      <c r="H58" s="78">
        <v>181</v>
      </c>
    </row>
    <row r="59" spans="1:8" s="8" customFormat="1" ht="11.25" customHeight="1" x14ac:dyDescent="0.25">
      <c r="A59" s="73"/>
      <c r="B59" s="68"/>
      <c r="C59" s="69"/>
      <c r="D59" s="73" t="s">
        <v>147</v>
      </c>
      <c r="E59" s="69"/>
      <c r="F59" s="73" t="s">
        <v>88</v>
      </c>
      <c r="G59" s="71"/>
      <c r="H59" s="72"/>
    </row>
    <row r="60" spans="1:8" s="8" customFormat="1" ht="11.25" customHeight="1" x14ac:dyDescent="0.25">
      <c r="A60" s="73"/>
      <c r="B60" s="68"/>
      <c r="C60" s="69"/>
      <c r="D60" s="73"/>
      <c r="E60" s="69"/>
      <c r="F60" s="73" t="s">
        <v>157</v>
      </c>
      <c r="G60" s="71"/>
      <c r="H60" s="72"/>
    </row>
    <row r="61" spans="1:8" s="8" customFormat="1" ht="11.25" customHeight="1" x14ac:dyDescent="0.25">
      <c r="A61" s="73"/>
      <c r="B61" s="68"/>
      <c r="C61" s="69"/>
      <c r="D61" s="73"/>
      <c r="E61" s="69"/>
      <c r="F61" s="73" t="s">
        <v>149</v>
      </c>
      <c r="G61" s="71"/>
      <c r="H61" s="72"/>
    </row>
    <row r="62" spans="1:8" ht="11.25" customHeight="1" x14ac:dyDescent="0.25">
      <c r="A62" s="135" t="s">
        <v>95</v>
      </c>
      <c r="B62" s="136"/>
      <c r="C62" s="136"/>
      <c r="D62" s="136"/>
      <c r="E62" s="136"/>
      <c r="F62" s="136"/>
      <c r="G62" s="136"/>
      <c r="H62" s="136"/>
    </row>
    <row r="63" spans="1:8" s="105" customFormat="1" ht="11.25" customHeight="1" x14ac:dyDescent="0.25">
      <c r="A63" s="138"/>
      <c r="B63" s="139"/>
      <c r="C63" s="139"/>
      <c r="D63" s="139"/>
      <c r="E63" s="139"/>
      <c r="F63" s="139"/>
      <c r="G63" s="139"/>
      <c r="H63" s="139"/>
    </row>
    <row r="64" spans="1:8" s="105" customFormat="1" ht="11.25" customHeight="1" x14ac:dyDescent="0.25">
      <c r="A64" s="138"/>
      <c r="B64" s="139"/>
      <c r="C64" s="139"/>
      <c r="D64" s="139"/>
      <c r="E64" s="139"/>
      <c r="F64" s="139"/>
      <c r="G64" s="139"/>
      <c r="H64" s="139"/>
    </row>
    <row r="65" spans="1:8" ht="11.25" customHeight="1" x14ac:dyDescent="0.25">
      <c r="A65" s="127" t="s">
        <v>96</v>
      </c>
      <c r="B65" s="132"/>
      <c r="C65" s="132"/>
      <c r="D65" s="132"/>
      <c r="E65" s="132"/>
      <c r="F65" s="132"/>
      <c r="G65" s="132"/>
      <c r="H65" s="132"/>
    </row>
    <row r="66" spans="1:8" ht="11.25" customHeight="1" x14ac:dyDescent="0.25">
      <c r="A66" s="127" t="s">
        <v>42</v>
      </c>
      <c r="B66" s="132"/>
      <c r="C66" s="132"/>
      <c r="D66" s="132"/>
      <c r="E66" s="132"/>
      <c r="F66" s="132"/>
      <c r="G66" s="132"/>
      <c r="H66" s="132"/>
    </row>
    <row r="67" spans="1:8" ht="11.25" customHeight="1" x14ac:dyDescent="0.25">
      <c r="A67" s="132"/>
      <c r="B67" s="132"/>
      <c r="C67" s="132"/>
      <c r="D67" s="132"/>
      <c r="E67" s="132"/>
      <c r="F67" s="132"/>
      <c r="G67" s="132"/>
      <c r="H67" s="132"/>
    </row>
    <row r="68" spans="1:8" ht="11.25" customHeight="1" x14ac:dyDescent="0.25">
      <c r="A68" s="127" t="s">
        <v>97</v>
      </c>
      <c r="B68" s="132"/>
      <c r="C68" s="132"/>
      <c r="D68" s="132"/>
      <c r="E68" s="132"/>
      <c r="F68" s="132"/>
      <c r="G68" s="132"/>
      <c r="H68" s="132"/>
    </row>
    <row r="69" spans="1:8" ht="11.25" customHeight="1" x14ac:dyDescent="0.25">
      <c r="A69" s="133" t="s">
        <v>43</v>
      </c>
      <c r="B69" s="134"/>
      <c r="C69" s="134"/>
      <c r="D69" s="134"/>
      <c r="E69" s="134"/>
      <c r="F69" s="134"/>
      <c r="G69" s="134"/>
      <c r="H69" s="134"/>
    </row>
    <row r="70" spans="1:8" ht="11.25" customHeight="1" x14ac:dyDescent="0.25">
      <c r="A70" s="131"/>
      <c r="B70" s="131"/>
      <c r="C70" s="113"/>
      <c r="D70" s="38" t="s">
        <v>43</v>
      </c>
      <c r="E70" s="113"/>
      <c r="F70" s="115"/>
      <c r="G70" s="113"/>
      <c r="H70" s="38" t="s">
        <v>44</v>
      </c>
    </row>
    <row r="71" spans="1:8" ht="11.25" customHeight="1" x14ac:dyDescent="0.25">
      <c r="A71" s="128" t="s">
        <v>45</v>
      </c>
      <c r="B71" s="128"/>
      <c r="C71" s="39"/>
      <c r="D71" s="41" t="s">
        <v>46</v>
      </c>
      <c r="E71" s="39"/>
      <c r="F71" s="111" t="s">
        <v>47</v>
      </c>
      <c r="G71" s="109"/>
      <c r="H71" s="111" t="s">
        <v>48</v>
      </c>
    </row>
    <row r="72" spans="1:8" ht="11.25" customHeight="1" x14ac:dyDescent="0.25">
      <c r="A72" s="57" t="s">
        <v>94</v>
      </c>
      <c r="B72" s="113"/>
      <c r="C72" s="113"/>
      <c r="D72" s="2"/>
      <c r="E72" s="113"/>
      <c r="F72" s="113"/>
      <c r="G72" s="113"/>
      <c r="H72" s="44"/>
    </row>
    <row r="73" spans="1:8" ht="11.25" customHeight="1" x14ac:dyDescent="0.25">
      <c r="A73" s="59" t="s">
        <v>16</v>
      </c>
      <c r="B73" s="113"/>
      <c r="C73" s="49"/>
      <c r="D73" s="106" t="s">
        <v>161</v>
      </c>
      <c r="E73" s="49"/>
      <c r="F73" s="106" t="s">
        <v>164</v>
      </c>
      <c r="G73" s="49"/>
      <c r="H73" s="52">
        <v>700</v>
      </c>
    </row>
    <row r="74" spans="1:8" ht="11.25" customHeight="1" x14ac:dyDescent="0.25">
      <c r="A74" s="53"/>
      <c r="B74" s="49"/>
      <c r="C74" s="49"/>
      <c r="D74" s="88" t="s">
        <v>162</v>
      </c>
      <c r="E74" s="49"/>
      <c r="F74" s="53"/>
      <c r="G74" s="49"/>
      <c r="H74" s="52"/>
    </row>
    <row r="75" spans="1:8" ht="11.25" customHeight="1" x14ac:dyDescent="0.25">
      <c r="A75" s="53"/>
      <c r="B75" s="49"/>
      <c r="C75" s="49"/>
      <c r="D75" s="88" t="s">
        <v>163</v>
      </c>
      <c r="E75" s="49"/>
      <c r="F75" s="53"/>
      <c r="G75" s="49"/>
      <c r="H75" s="52"/>
    </row>
    <row r="76" spans="1:8" ht="11.25" customHeight="1" x14ac:dyDescent="0.25">
      <c r="A76" s="23" t="s">
        <v>17</v>
      </c>
      <c r="B76" s="56"/>
      <c r="C76" s="56"/>
      <c r="D76" s="23" t="s">
        <v>27</v>
      </c>
      <c r="E76" s="56"/>
      <c r="F76" s="22" t="s">
        <v>146</v>
      </c>
      <c r="G76" s="56"/>
      <c r="H76" s="58">
        <v>900</v>
      </c>
    </row>
    <row r="77" spans="1:8" ht="11.25" customHeight="1" x14ac:dyDescent="0.25">
      <c r="A77" s="22" t="s">
        <v>28</v>
      </c>
      <c r="B77" s="56"/>
      <c r="C77" s="113"/>
      <c r="D77" s="35"/>
      <c r="E77" s="113"/>
      <c r="F77" s="35"/>
      <c r="G77" s="113"/>
      <c r="H77" s="44"/>
    </row>
    <row r="78" spans="1:8" s="104" customFormat="1" ht="11.25" customHeight="1" x14ac:dyDescent="0.25">
      <c r="A78" s="89" t="s">
        <v>29</v>
      </c>
      <c r="B78" s="30" t="s">
        <v>98</v>
      </c>
      <c r="C78" s="90"/>
      <c r="D78" s="106" t="s">
        <v>209</v>
      </c>
      <c r="E78" s="49"/>
      <c r="F78" s="106" t="s">
        <v>158</v>
      </c>
      <c r="G78" s="49"/>
      <c r="H78" s="52">
        <v>75200</v>
      </c>
    </row>
    <row r="79" spans="1:8" ht="11.25" customHeight="1" x14ac:dyDescent="0.25">
      <c r="A79" s="91"/>
      <c r="B79" s="92" t="s">
        <v>99</v>
      </c>
      <c r="C79" s="49"/>
      <c r="D79" s="88" t="s">
        <v>208</v>
      </c>
      <c r="E79" s="49"/>
      <c r="F79" s="88" t="s">
        <v>159</v>
      </c>
      <c r="G79" s="49"/>
      <c r="H79" s="52"/>
    </row>
    <row r="80" spans="1:8" ht="11.25" customHeight="1" x14ac:dyDescent="0.25">
      <c r="A80" s="91"/>
      <c r="B80" s="92" t="s">
        <v>100</v>
      </c>
      <c r="C80" s="39"/>
      <c r="D80" s="60" t="s">
        <v>101</v>
      </c>
      <c r="E80" s="39"/>
      <c r="F80" s="45"/>
      <c r="G80" s="39"/>
      <c r="H80" s="48"/>
    </row>
    <row r="81" spans="1:205" ht="11.25" customHeight="1" x14ac:dyDescent="0.25">
      <c r="A81" s="93" t="s">
        <v>57</v>
      </c>
      <c r="B81" s="30" t="s">
        <v>27</v>
      </c>
      <c r="C81" s="113"/>
      <c r="D81" s="116" t="s">
        <v>84</v>
      </c>
      <c r="E81" s="113"/>
      <c r="F81" s="114" t="s">
        <v>102</v>
      </c>
      <c r="G81" s="113"/>
      <c r="H81" s="44">
        <v>138000</v>
      </c>
    </row>
    <row r="82" spans="1:205" ht="11.25" customHeight="1" x14ac:dyDescent="0.25">
      <c r="A82" s="51"/>
      <c r="B82" s="90"/>
      <c r="C82" s="49"/>
      <c r="D82" s="88" t="s">
        <v>86</v>
      </c>
      <c r="E82" s="49"/>
      <c r="F82" s="88" t="s">
        <v>183</v>
      </c>
      <c r="G82" s="49"/>
      <c r="H82" s="52"/>
    </row>
    <row r="83" spans="1:205" ht="11.25" customHeight="1" x14ac:dyDescent="0.25">
      <c r="A83" s="51"/>
      <c r="B83" s="90"/>
      <c r="C83" s="49"/>
      <c r="D83" s="53"/>
      <c r="E83" s="49"/>
      <c r="F83" s="88" t="s">
        <v>202</v>
      </c>
      <c r="G83" s="49"/>
      <c r="H83" s="52"/>
    </row>
    <row r="84" spans="1:205" ht="11.25" customHeight="1" x14ac:dyDescent="0.25">
      <c r="A84" s="6"/>
      <c r="B84" s="46"/>
      <c r="C84" s="39"/>
      <c r="D84" s="45"/>
      <c r="E84" s="39"/>
      <c r="F84" s="60" t="s">
        <v>184</v>
      </c>
      <c r="G84" s="39"/>
      <c r="H84" s="48"/>
    </row>
    <row r="85" spans="1:205" ht="11.25" customHeight="1" x14ac:dyDescent="0.25">
      <c r="A85" s="94" t="s">
        <v>57</v>
      </c>
      <c r="B85" s="92" t="s">
        <v>27</v>
      </c>
      <c r="C85" s="49"/>
      <c r="D85" s="106" t="s">
        <v>103</v>
      </c>
      <c r="E85" s="49"/>
      <c r="F85" s="106" t="s">
        <v>185</v>
      </c>
      <c r="G85" s="49"/>
      <c r="H85" s="52">
        <v>12200</v>
      </c>
    </row>
    <row r="86" spans="1:205" ht="11.25" customHeight="1" x14ac:dyDescent="0.25">
      <c r="A86" s="94"/>
      <c r="B86" s="92"/>
      <c r="C86" s="49"/>
      <c r="D86" s="88" t="s">
        <v>104</v>
      </c>
      <c r="E86" s="49"/>
      <c r="F86" s="88" t="s">
        <v>186</v>
      </c>
      <c r="G86" s="49"/>
      <c r="H86" s="52"/>
    </row>
    <row r="87" spans="1:205" ht="11.25" customHeight="1" x14ac:dyDescent="0.25">
      <c r="A87" s="36"/>
      <c r="B87" s="53"/>
      <c r="C87" s="39"/>
      <c r="D87" s="45"/>
      <c r="E87" s="39"/>
      <c r="F87" s="60" t="s">
        <v>187</v>
      </c>
      <c r="G87" s="39"/>
      <c r="H87" s="48"/>
    </row>
    <row r="88" spans="1:205" ht="11.25" customHeight="1" x14ac:dyDescent="0.25">
      <c r="A88" s="93" t="s">
        <v>57</v>
      </c>
      <c r="B88" s="30" t="s">
        <v>27</v>
      </c>
      <c r="C88" s="113"/>
      <c r="D88" s="114" t="s">
        <v>133</v>
      </c>
      <c r="E88" s="113"/>
      <c r="F88" s="114" t="s">
        <v>188</v>
      </c>
      <c r="G88" s="113"/>
      <c r="H88" s="44">
        <v>11600</v>
      </c>
    </row>
    <row r="89" spans="1:205" s="105" customFormat="1" ht="11.25" customHeight="1" x14ac:dyDescent="0.25">
      <c r="A89" s="94"/>
      <c r="B89" s="92"/>
      <c r="C89" s="49"/>
      <c r="D89" s="88" t="s">
        <v>138</v>
      </c>
      <c r="E89" s="49"/>
      <c r="F89" s="88" t="s">
        <v>190</v>
      </c>
      <c r="G89" s="49"/>
      <c r="H89" s="52"/>
    </row>
    <row r="90" spans="1:205" s="4" customFormat="1" ht="11.25" customHeight="1" x14ac:dyDescent="0.25">
      <c r="A90" s="36"/>
      <c r="B90" s="36"/>
      <c r="C90" s="49"/>
      <c r="D90" s="88"/>
      <c r="E90" s="49"/>
      <c r="F90" s="88" t="s">
        <v>189</v>
      </c>
      <c r="G90" s="49"/>
      <c r="H90" s="52"/>
    </row>
    <row r="91" spans="1:205" ht="11.25" customHeight="1" x14ac:dyDescent="0.25">
      <c r="A91" s="93" t="s">
        <v>57</v>
      </c>
      <c r="B91" s="30" t="s">
        <v>27</v>
      </c>
      <c r="C91" s="113"/>
      <c r="D91" s="114" t="s">
        <v>105</v>
      </c>
      <c r="E91" s="113"/>
      <c r="F91" s="114" t="s">
        <v>191</v>
      </c>
      <c r="G91" s="113"/>
      <c r="H91" s="44">
        <v>11100</v>
      </c>
    </row>
    <row r="92" spans="1:205" s="105" customFormat="1" ht="11.25" customHeight="1" x14ac:dyDescent="0.25">
      <c r="A92" s="53"/>
      <c r="B92" s="49"/>
      <c r="C92" s="90"/>
      <c r="D92" s="88" t="s">
        <v>106</v>
      </c>
      <c r="E92" s="49"/>
      <c r="F92" s="88" t="s">
        <v>192</v>
      </c>
      <c r="G92" s="49"/>
      <c r="H92" s="52"/>
    </row>
    <row r="93" spans="1:205" ht="11.25" customHeight="1" x14ac:dyDescent="0.25">
      <c r="A93" s="45"/>
      <c r="B93" s="39"/>
      <c r="C93" s="46"/>
      <c r="D93" s="60" t="s">
        <v>107</v>
      </c>
      <c r="E93" s="39"/>
      <c r="F93" s="6"/>
      <c r="G93" s="39"/>
      <c r="H93" s="48"/>
    </row>
    <row r="94" spans="1:205" ht="11.25" customHeight="1" x14ac:dyDescent="0.25">
      <c r="A94" s="93" t="s">
        <v>57</v>
      </c>
      <c r="B94" s="30" t="s">
        <v>27</v>
      </c>
      <c r="C94" s="49"/>
      <c r="D94" s="106" t="s">
        <v>108</v>
      </c>
      <c r="E94" s="49"/>
      <c r="F94" s="106" t="s">
        <v>109</v>
      </c>
      <c r="G94" s="49"/>
      <c r="H94" s="52">
        <v>44500</v>
      </c>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row>
    <row r="95" spans="1:205" ht="11.25" customHeight="1" x14ac:dyDescent="0.25">
      <c r="A95" s="91"/>
      <c r="B95" s="13"/>
      <c r="C95" s="49"/>
      <c r="D95" s="88" t="s">
        <v>110</v>
      </c>
      <c r="E95" s="49"/>
      <c r="F95" s="88" t="s">
        <v>150</v>
      </c>
      <c r="G95" s="49"/>
      <c r="H95" s="52"/>
    </row>
    <row r="96" spans="1:205" ht="11.25" customHeight="1" x14ac:dyDescent="0.25">
      <c r="A96" s="91"/>
      <c r="B96" s="13"/>
      <c r="C96" s="49"/>
      <c r="D96" s="51"/>
      <c r="E96" s="49"/>
      <c r="F96" s="88" t="s">
        <v>194</v>
      </c>
      <c r="G96" s="49"/>
      <c r="H96" s="52"/>
    </row>
    <row r="97" spans="1:8" ht="11.25" customHeight="1" x14ac:dyDescent="0.25">
      <c r="A97" s="91"/>
      <c r="B97" s="90"/>
      <c r="C97" s="49"/>
      <c r="D97" s="51"/>
      <c r="E97" s="49"/>
      <c r="F97" s="88" t="s">
        <v>193</v>
      </c>
      <c r="G97" s="49"/>
      <c r="H97" s="52"/>
    </row>
    <row r="98" spans="1:8" ht="11.25" customHeight="1" x14ac:dyDescent="0.25">
      <c r="A98" s="93" t="s">
        <v>57</v>
      </c>
      <c r="B98" s="30" t="s">
        <v>27</v>
      </c>
      <c r="C98" s="113"/>
      <c r="D98" s="114" t="s">
        <v>111</v>
      </c>
      <c r="E98" s="113"/>
      <c r="F98" s="114" t="s">
        <v>211</v>
      </c>
      <c r="G98" s="113"/>
      <c r="H98" s="44">
        <v>31400</v>
      </c>
    </row>
    <row r="99" spans="1:8" ht="11.25" customHeight="1" x14ac:dyDescent="0.25">
      <c r="A99" s="36"/>
      <c r="B99" s="36"/>
      <c r="C99" s="49"/>
      <c r="D99" s="88" t="s">
        <v>112</v>
      </c>
      <c r="E99" s="49"/>
      <c r="F99" s="88" t="s">
        <v>210</v>
      </c>
      <c r="G99" s="49"/>
      <c r="H99" s="49"/>
    </row>
    <row r="100" spans="1:8" ht="11.25" customHeight="1" x14ac:dyDescent="0.25">
      <c r="A100" s="36"/>
      <c r="B100" s="36"/>
      <c r="C100" s="49"/>
      <c r="D100" s="88"/>
      <c r="E100" s="49"/>
      <c r="F100" s="88" t="s">
        <v>203</v>
      </c>
      <c r="G100" s="49"/>
      <c r="H100" s="49"/>
    </row>
    <row r="101" spans="1:8" ht="11.25" customHeight="1" x14ac:dyDescent="0.25">
      <c r="A101" s="95"/>
      <c r="B101" s="95"/>
      <c r="C101" s="39"/>
      <c r="D101" s="45"/>
      <c r="E101" s="39"/>
      <c r="F101" s="60" t="s">
        <v>160</v>
      </c>
      <c r="G101" s="39"/>
      <c r="H101" s="48"/>
    </row>
    <row r="102" spans="1:8" ht="11.25" customHeight="1" x14ac:dyDescent="0.25">
      <c r="A102" s="93" t="s">
        <v>57</v>
      </c>
      <c r="B102" s="92" t="s">
        <v>27</v>
      </c>
      <c r="C102" s="49"/>
      <c r="D102" s="106" t="s">
        <v>89</v>
      </c>
      <c r="E102" s="49"/>
      <c r="F102" s="106" t="s">
        <v>90</v>
      </c>
      <c r="G102" s="49"/>
      <c r="H102" s="52">
        <v>52000</v>
      </c>
    </row>
    <row r="103" spans="1:8" ht="11.25" customHeight="1" x14ac:dyDescent="0.25">
      <c r="A103" s="51"/>
      <c r="B103" s="90"/>
      <c r="C103" s="49"/>
      <c r="D103" s="88" t="s">
        <v>204</v>
      </c>
      <c r="E103" s="49"/>
      <c r="F103" s="88" t="s">
        <v>177</v>
      </c>
      <c r="G103" s="49"/>
      <c r="H103" s="52"/>
    </row>
    <row r="104" spans="1:8" ht="11.25" customHeight="1" x14ac:dyDescent="0.25">
      <c r="A104" s="95"/>
      <c r="B104" s="95"/>
      <c r="C104" s="39"/>
      <c r="D104" s="60" t="s">
        <v>143</v>
      </c>
      <c r="E104" s="39"/>
      <c r="F104" s="39"/>
      <c r="G104" s="39"/>
      <c r="H104" s="39"/>
    </row>
    <row r="105" spans="1:8" ht="11.25" customHeight="1" x14ac:dyDescent="0.25">
      <c r="A105" s="93" t="s">
        <v>57</v>
      </c>
      <c r="B105" s="30" t="s">
        <v>27</v>
      </c>
      <c r="C105" s="113"/>
      <c r="D105" s="114" t="s">
        <v>151</v>
      </c>
      <c r="E105" s="113"/>
      <c r="F105" s="114" t="s">
        <v>113</v>
      </c>
      <c r="G105" s="113"/>
      <c r="H105" s="44">
        <v>4400</v>
      </c>
    </row>
    <row r="106" spans="1:8" ht="11.25" customHeight="1" x14ac:dyDescent="0.25">
      <c r="A106" s="53"/>
      <c r="B106" s="90"/>
      <c r="C106" s="49"/>
      <c r="D106" s="88" t="s">
        <v>147</v>
      </c>
      <c r="E106" s="49"/>
      <c r="F106" s="88" t="s">
        <v>205</v>
      </c>
      <c r="G106" s="49"/>
      <c r="H106" s="52"/>
    </row>
    <row r="107" spans="1:8" ht="11.25" customHeight="1" x14ac:dyDescent="0.25">
      <c r="A107" s="45"/>
      <c r="B107" s="46"/>
      <c r="C107" s="39"/>
      <c r="D107" s="45"/>
      <c r="E107" s="39"/>
      <c r="F107" s="60" t="s">
        <v>114</v>
      </c>
      <c r="G107" s="39"/>
      <c r="H107" s="48"/>
    </row>
    <row r="108" spans="1:8" ht="11.25" customHeight="1" x14ac:dyDescent="0.25">
      <c r="A108" s="59" t="s">
        <v>115</v>
      </c>
      <c r="B108" s="30" t="s">
        <v>27</v>
      </c>
      <c r="C108" s="113"/>
      <c r="D108" s="43" t="s">
        <v>195</v>
      </c>
      <c r="E108" s="113"/>
      <c r="F108" s="116" t="s">
        <v>118</v>
      </c>
      <c r="G108" s="113"/>
      <c r="H108" s="44">
        <v>7300</v>
      </c>
    </row>
    <row r="109" spans="1:8" ht="11.25" customHeight="1" x14ac:dyDescent="0.25">
      <c r="A109" s="60"/>
      <c r="B109" s="107"/>
      <c r="C109" s="39"/>
      <c r="D109" s="47" t="s">
        <v>112</v>
      </c>
      <c r="E109" s="39"/>
      <c r="F109" s="63"/>
      <c r="G109" s="39"/>
      <c r="H109" s="48"/>
    </row>
    <row r="110" spans="1:8" ht="11.25" customHeight="1" x14ac:dyDescent="0.25">
      <c r="A110" s="28" t="s">
        <v>57</v>
      </c>
      <c r="B110" s="16" t="s">
        <v>27</v>
      </c>
      <c r="C110" s="56"/>
      <c r="D110" s="23" t="s">
        <v>27</v>
      </c>
      <c r="E110" s="56"/>
      <c r="F110" s="57" t="s">
        <v>119</v>
      </c>
      <c r="G110" s="56"/>
      <c r="H110" s="58">
        <v>3650</v>
      </c>
    </row>
    <row r="111" spans="1:8" ht="11.25" customHeight="1" x14ac:dyDescent="0.25">
      <c r="A111" s="93" t="s">
        <v>57</v>
      </c>
      <c r="B111" s="30" t="s">
        <v>27</v>
      </c>
      <c r="C111" s="113"/>
      <c r="D111" s="43" t="s">
        <v>50</v>
      </c>
      <c r="E111" s="113"/>
      <c r="F111" s="116" t="s">
        <v>117</v>
      </c>
      <c r="G111" s="113"/>
      <c r="H111" s="44">
        <v>43800</v>
      </c>
    </row>
    <row r="112" spans="1:8" s="105" customFormat="1" ht="11.25" customHeight="1" x14ac:dyDescent="0.25">
      <c r="A112" s="45"/>
      <c r="B112" s="46"/>
      <c r="C112" s="39"/>
      <c r="D112" s="47" t="s">
        <v>52</v>
      </c>
      <c r="E112" s="39"/>
      <c r="F112" s="39"/>
      <c r="G112" s="39"/>
      <c r="H112" s="48"/>
    </row>
    <row r="113" spans="1:8" ht="11.25" customHeight="1" x14ac:dyDescent="0.25">
      <c r="A113" s="94" t="s">
        <v>57</v>
      </c>
      <c r="B113" s="92" t="s">
        <v>27</v>
      </c>
      <c r="C113" s="51"/>
      <c r="D113" s="50" t="s">
        <v>206</v>
      </c>
      <c r="E113" s="51"/>
      <c r="F113" s="106" t="s">
        <v>116</v>
      </c>
      <c r="G113" s="51"/>
      <c r="H113" s="52">
        <v>80300</v>
      </c>
    </row>
    <row r="114" spans="1:8" ht="11.25" customHeight="1" x14ac:dyDescent="0.25">
      <c r="A114" s="49"/>
      <c r="B114" s="40"/>
      <c r="C114" s="49"/>
      <c r="D114" s="54" t="s">
        <v>207</v>
      </c>
      <c r="E114" s="49"/>
      <c r="F114" s="51"/>
      <c r="G114" s="49"/>
      <c r="H114" s="97"/>
    </row>
    <row r="115" spans="1:8" ht="11.25" customHeight="1" x14ac:dyDescent="0.25">
      <c r="A115" s="28" t="s">
        <v>57</v>
      </c>
      <c r="B115" s="16" t="s">
        <v>27</v>
      </c>
      <c r="C115" s="56"/>
      <c r="D115" s="64" t="s">
        <v>78</v>
      </c>
      <c r="E115" s="56"/>
      <c r="F115" s="57" t="s">
        <v>120</v>
      </c>
      <c r="G115" s="56"/>
      <c r="H115" s="58">
        <v>2920</v>
      </c>
    </row>
    <row r="116" spans="1:8" ht="11.25" customHeight="1" x14ac:dyDescent="0.25">
      <c r="A116" s="114" t="s">
        <v>121</v>
      </c>
      <c r="B116" s="42"/>
      <c r="C116" s="113"/>
      <c r="D116" s="43" t="s">
        <v>200</v>
      </c>
      <c r="E116" s="113"/>
      <c r="F116" s="98" t="s">
        <v>139</v>
      </c>
      <c r="G116" s="113"/>
      <c r="H116" s="44">
        <v>120</v>
      </c>
    </row>
    <row r="117" spans="1:8" ht="11.25" customHeight="1" x14ac:dyDescent="0.25">
      <c r="A117" s="6"/>
      <c r="B117" s="46"/>
      <c r="C117" s="39"/>
      <c r="D117" s="47" t="s">
        <v>201</v>
      </c>
      <c r="E117" s="39"/>
      <c r="F117" s="99" t="s">
        <v>122</v>
      </c>
      <c r="G117" s="39"/>
      <c r="H117" s="48"/>
    </row>
    <row r="118" spans="1:8" ht="11.25" customHeight="1" x14ac:dyDescent="0.25">
      <c r="A118" s="23" t="s">
        <v>57</v>
      </c>
      <c r="B118" s="96"/>
      <c r="C118" s="39"/>
      <c r="D118" s="47" t="s">
        <v>27</v>
      </c>
      <c r="E118" s="39"/>
      <c r="F118" s="100" t="s">
        <v>123</v>
      </c>
      <c r="G118" s="39"/>
      <c r="H118" s="48">
        <v>200</v>
      </c>
    </row>
    <row r="119" spans="1:8" ht="11.25" customHeight="1" x14ac:dyDescent="0.25">
      <c r="A119" s="23" t="s">
        <v>57</v>
      </c>
      <c r="B119" s="96"/>
      <c r="C119" s="56"/>
      <c r="D119" s="64" t="s">
        <v>127</v>
      </c>
      <c r="E119" s="39"/>
      <c r="F119" s="101" t="s">
        <v>128</v>
      </c>
      <c r="G119" s="56"/>
      <c r="H119" s="58">
        <v>50</v>
      </c>
    </row>
    <row r="120" spans="1:8" ht="11.25" customHeight="1" x14ac:dyDescent="0.25">
      <c r="A120" s="23" t="s">
        <v>57</v>
      </c>
      <c r="B120" s="96"/>
      <c r="C120" s="56"/>
      <c r="D120" s="64" t="s">
        <v>124</v>
      </c>
      <c r="E120" s="56"/>
      <c r="F120" s="102" t="s">
        <v>125</v>
      </c>
      <c r="G120" s="56"/>
      <c r="H120" s="58">
        <v>2500</v>
      </c>
    </row>
    <row r="121" spans="1:8" ht="11.25" customHeight="1" x14ac:dyDescent="0.25">
      <c r="A121" s="59" t="s">
        <v>57</v>
      </c>
      <c r="B121" s="42"/>
      <c r="C121" s="113"/>
      <c r="D121" s="43" t="s">
        <v>126</v>
      </c>
      <c r="E121" s="113"/>
      <c r="F121" s="108" t="s">
        <v>196</v>
      </c>
      <c r="G121" s="113"/>
      <c r="H121" s="30" t="s">
        <v>91</v>
      </c>
    </row>
    <row r="122" spans="1:8" ht="11.25" customHeight="1" x14ac:dyDescent="0.25">
      <c r="A122" s="60"/>
      <c r="B122" s="46"/>
      <c r="C122" s="39"/>
      <c r="D122" s="65"/>
      <c r="E122" s="39"/>
      <c r="F122" s="99" t="s">
        <v>197</v>
      </c>
      <c r="G122" s="39"/>
      <c r="H122" s="107"/>
    </row>
    <row r="123" spans="1:8" ht="11.25" customHeight="1" x14ac:dyDescent="0.25">
      <c r="A123" s="114" t="s">
        <v>129</v>
      </c>
      <c r="B123" s="42"/>
      <c r="C123" s="113"/>
      <c r="D123" s="43" t="s">
        <v>130</v>
      </c>
      <c r="E123" s="113"/>
      <c r="F123" s="116" t="s">
        <v>198</v>
      </c>
      <c r="G123" s="113"/>
      <c r="H123" s="44">
        <v>450</v>
      </c>
    </row>
    <row r="124" spans="1:8" ht="11.25" customHeight="1" x14ac:dyDescent="0.25">
      <c r="A124" s="6"/>
      <c r="B124" s="46"/>
      <c r="C124" s="39"/>
      <c r="D124" s="47" t="s">
        <v>131</v>
      </c>
      <c r="E124" s="39"/>
      <c r="F124" s="60" t="s">
        <v>199</v>
      </c>
      <c r="G124" s="39"/>
      <c r="H124" s="48"/>
    </row>
    <row r="125" spans="1:8" s="105" customFormat="1" ht="11.25" customHeight="1" x14ac:dyDescent="0.25">
      <c r="A125" s="130" t="s">
        <v>140</v>
      </c>
      <c r="B125" s="131"/>
      <c r="C125" s="131"/>
      <c r="D125" s="131"/>
      <c r="E125" s="131"/>
      <c r="F125" s="131"/>
      <c r="G125" s="131"/>
      <c r="H125" s="131"/>
    </row>
    <row r="126" spans="1:8" ht="11.25" customHeight="1" x14ac:dyDescent="0.25">
      <c r="A126" s="9"/>
    </row>
    <row r="127" spans="1:8" ht="11.25" customHeight="1" x14ac:dyDescent="0.25"/>
    <row r="128" spans="1:8" ht="11.25" customHeight="1" x14ac:dyDescent="0.25"/>
  </sheetData>
  <mergeCells count="18">
    <mergeCell ref="A1:H1"/>
    <mergeCell ref="A2:H2"/>
    <mergeCell ref="A4:H4"/>
    <mergeCell ref="A5:H5"/>
    <mergeCell ref="A70:B70"/>
    <mergeCell ref="A6:B6"/>
    <mergeCell ref="A62:H62"/>
    <mergeCell ref="A7:B7"/>
    <mergeCell ref="A3:H3"/>
    <mergeCell ref="A63:H63"/>
    <mergeCell ref="A64:H64"/>
    <mergeCell ref="A125:H125"/>
    <mergeCell ref="A65:H65"/>
    <mergeCell ref="A66:H66"/>
    <mergeCell ref="A67:H67"/>
    <mergeCell ref="A68:H68"/>
    <mergeCell ref="A69:H69"/>
    <mergeCell ref="A71:B71"/>
  </mergeCells>
  <pageMargins left="0.5" right="0.5" top="0.5" bottom="0.75" header="0.5" footer="0.5"/>
  <pageSetup orientation="portrait" r:id="rId1"/>
  <rowBreaks count="1" manualBreakCount="1">
    <brk id="6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30e59c1765d04d802896a7b22918ba5f">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a1edc58912d20010cdcf4a1f654cca98"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SharedWithUsers xmlns="fe77990d-a1e9-46bd-9909-a26041423160">
      <UserInfo>
        <DisplayName/>
        <AccountId xsi:nil="true"/>
        <AccountType/>
      </UserInfo>
    </SharedWithUsers>
    <lcf76f155ced4ddcb4097134ff3c332f xmlns="24afef00-3e19-424e-a66a-c96a9a38e46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8C96AC-71D5-4E47-8B9D-602B71712BAA}"/>
</file>

<file path=customXml/itemProps2.xml><?xml version="1.0" encoding="utf-8"?>
<ds:datastoreItem xmlns:ds="http://schemas.openxmlformats.org/officeDocument/2006/customXml" ds:itemID="{E4485970-BAC4-47B1-A30E-4958F24815B0}">
  <ds:schemaRefs>
    <ds:schemaRef ds:uri="http://www.w3.org/XML/1998/namespace"/>
    <ds:schemaRef ds:uri="http://schemas.microsoft.com/office/2006/documentManagement/types"/>
    <ds:schemaRef ds:uri="73166ee1-6b64-49a2-af77-8563fe7cb853"/>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31062a0d-ede8-4112-b4bb-00a9c1bc8e16"/>
    <ds:schemaRef ds:uri="88ac029c-bb0d-40fb-b198-c5b4986b5503"/>
    <ds:schemaRef ds:uri="http://purl.org/dc/dcmitype/"/>
    <ds:schemaRef ds:uri="a26c063d-e4ab-4c2c-a5f9-3b05989843c6"/>
    <ds:schemaRef ds:uri="http://schemas.microsoft.com/sharepoint/v3"/>
  </ds:schemaRefs>
</ds:datastoreItem>
</file>

<file path=customXml/itemProps3.xml><?xml version="1.0" encoding="utf-8"?>
<ds:datastoreItem xmlns:ds="http://schemas.openxmlformats.org/officeDocument/2006/customXml" ds:itemID="{6EB9648D-A56E-43D4-87EA-D35122B7F8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Text</vt:lpstr>
      <vt:lpstr>Table 1</vt:lpstr>
      <vt:lpstr>Table 2</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2020–2021</dc:title>
  <dc:subject/>
  <dc:creator>National Minerals Information Center</dc:creator>
  <cp:keywords>minerals; statistics; Libya</cp:keywords>
  <dc:description/>
  <cp:lastModifiedBy>Ishee, JC</cp:lastModifiedBy>
  <cp:revision/>
  <cp:lastPrinted>2024-07-16T19:00:19Z</cp:lastPrinted>
  <dcterms:created xsi:type="dcterms:W3CDTF">2018-01-12T19:59:12Z</dcterms:created>
  <dcterms:modified xsi:type="dcterms:W3CDTF">2025-01-23T14:42:12Z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y fmtid="{D5CDD505-2E9C-101B-9397-08002B2CF9AE}" pid="4" name="Order">
    <vt:r8>26209700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