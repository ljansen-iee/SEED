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516\"/>
    </mc:Choice>
  </mc:AlternateContent>
  <xr:revisionPtr revIDLastSave="0" documentId="13_ncr:1_{B928EA6D-BA24-4BF1-A069-A4119901ECC2}" xr6:coauthVersionLast="47" xr6:coauthVersionMax="47" xr10:uidLastSave="{00000000-0000-0000-0000-000000000000}"/>
  <bookViews>
    <workbookView xWindow="8325" yWindow="600" windowWidth="16815" windowHeight="14055" xr2:uid="{00000000-000D-0000-FFFF-FFFF00000000}"/>
  </bookViews>
  <sheets>
    <sheet name="Note" sheetId="2" r:id="rId1"/>
    <sheet name="Table 1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G17" i="1"/>
  <c r="M17" i="1"/>
  <c r="I17" i="1"/>
  <c r="K17" i="1"/>
</calcChain>
</file>

<file path=xl/sharedStrings.xml><?xml version="1.0" encoding="utf-8"?>
<sst xmlns="http://schemas.openxmlformats.org/spreadsheetml/2006/main" count="294" uniqueCount="122">
  <si>
    <t>TABLE 1</t>
  </si>
  <si>
    <r>
      <t>MEXICO: PRODUCTION OF MINERAL COMMODITIES</t>
    </r>
    <r>
      <rPr>
        <vertAlign val="superscript"/>
        <sz val="8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</si>
  <si>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</si>
  <si>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rFont val="Times New Roman"/>
        <family val="1"/>
      </rPr>
      <t>2,3</t>
    </r>
  </si>
  <si>
    <t>2020</t>
  </si>
  <si>
    <t>2021</t>
  </si>
  <si>
    <t>METALS</t>
  </si>
  <si>
    <t>Antimony, mine, Sb content</t>
  </si>
  <si>
    <t>r</t>
  </si>
  <si>
    <t>Bismuth, refinery, Bi content</t>
  </si>
  <si>
    <t>e</t>
  </si>
  <si>
    <t>Cadmium, refinery, primary</t>
  </si>
  <si>
    <t>Cobalt:</t>
  </si>
  <si>
    <r>
      <t>Mine, Co content</t>
    </r>
    <r>
      <rPr>
        <vertAlign val="superscript"/>
        <sz val="8"/>
        <rFont val="Times New Roman"/>
        <family val="1"/>
      </rPr>
      <t>e</t>
    </r>
  </si>
  <si>
    <t>Refinery, metal</t>
  </si>
  <si>
    <t>Copper:</t>
  </si>
  <si>
    <t>Mine, concentrates, Cu content</t>
  </si>
  <si>
    <t>Solvent extraction</t>
  </si>
  <si>
    <t>Total:</t>
  </si>
  <si>
    <t>Smelter:</t>
  </si>
  <si>
    <t>Primary</t>
  </si>
  <si>
    <r>
      <t>Secondary</t>
    </r>
    <r>
      <rPr>
        <vertAlign val="superscript"/>
        <sz val="8"/>
        <rFont val="Times New Roman"/>
        <family val="1"/>
      </rPr>
      <t>e</t>
    </r>
  </si>
  <si>
    <t>Refinery:</t>
  </si>
  <si>
    <t>r, e</t>
  </si>
  <si>
    <t>Ferroalloys:</t>
  </si>
  <si>
    <t>Ferromanganese</t>
  </si>
  <si>
    <t>Silicomanganese</t>
  </si>
  <si>
    <t>Gold:</t>
  </si>
  <si>
    <t>Mine, Au content</t>
  </si>
  <si>
    <t>kilograms</t>
  </si>
  <si>
    <t>Refinery</t>
  </si>
  <si>
    <t>do.</t>
  </si>
  <si>
    <t>Iron ore, mine:</t>
  </si>
  <si>
    <t>Gross weight</t>
  </si>
  <si>
    <t>thousand metric tons</t>
  </si>
  <si>
    <t>Fe content</t>
  </si>
  <si>
    <t>Iron and steel:</t>
  </si>
  <si>
    <t>Direct-reduced iron</t>
  </si>
  <si>
    <t>Pig iron</t>
  </si>
  <si>
    <t>Steel:</t>
  </si>
  <si>
    <t>Raw steel</t>
  </si>
  <si>
    <t>Products, rolled</t>
  </si>
  <si>
    <t>Lead:</t>
  </si>
  <si>
    <t>Mine, Pb content</t>
  </si>
  <si>
    <t>Secondary</t>
  </si>
  <si>
    <t>Manganese:</t>
  </si>
  <si>
    <t>Mine:</t>
  </si>
  <si>
    <t>Mn content</t>
  </si>
  <si>
    <t>Mercury, Hg content</t>
  </si>
  <si>
    <t>Molybdenum, mine, Mo content</t>
  </si>
  <si>
    <t>Silver:</t>
  </si>
  <si>
    <t>Mine, Ag content</t>
  </si>
  <si>
    <t>Refinery, primary, metallurgical products</t>
  </si>
  <si>
    <t>Zinc:</t>
  </si>
  <si>
    <t>Mine, Zn content</t>
  </si>
  <si>
    <t>Smelter, primary</t>
  </si>
  <si>
    <t>INDUSTRIAL MINERALS</t>
  </si>
  <si>
    <t>Barite</t>
  </si>
  <si>
    <t>Celestite</t>
  </si>
  <si>
    <t xml:space="preserve"> </t>
  </si>
  <si>
    <t>Cement, hydraulic</t>
  </si>
  <si>
    <t>Clay:</t>
  </si>
  <si>
    <t>Bentonite</t>
  </si>
  <si>
    <t>Common clay</t>
  </si>
  <si>
    <t>Fuller's earth</t>
  </si>
  <si>
    <t>Kaolin</t>
  </si>
  <si>
    <t>Diatomite</t>
  </si>
  <si>
    <t>Feldspar, mine</t>
  </si>
  <si>
    <t>Fluorspar:</t>
  </si>
  <si>
    <t>Acid grade</t>
  </si>
  <si>
    <r>
      <t>Metallurgical grade</t>
    </r>
    <r>
      <rPr>
        <vertAlign val="superscript"/>
        <sz val="8"/>
        <rFont val="Times New Roman"/>
        <family val="1"/>
      </rPr>
      <t>e</t>
    </r>
  </si>
  <si>
    <r>
      <t>Graphite, amorphous, natural</t>
    </r>
    <r>
      <rPr>
        <vertAlign val="superscript"/>
        <sz val="8"/>
        <rFont val="Times New Roman"/>
        <family val="1"/>
      </rPr>
      <t>4</t>
    </r>
  </si>
  <si>
    <t>Gypsum, including anhydrite</t>
  </si>
  <si>
    <t>Magnesite</t>
  </si>
  <si>
    <r>
      <t>Mica, all grades</t>
    </r>
    <r>
      <rPr>
        <vertAlign val="superscript"/>
        <sz val="8"/>
        <rFont val="Times New Roman"/>
        <family val="1"/>
      </rPr>
      <t>e</t>
    </r>
  </si>
  <si>
    <t>Nitrogen, ammonia, N content</t>
  </si>
  <si>
    <t>--</t>
  </si>
  <si>
    <t>Perlite</t>
  </si>
  <si>
    <t>Phosphate rock:</t>
  </si>
  <si>
    <r>
      <t>P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5</t>
    </r>
    <r>
      <rPr>
        <sz val="8"/>
        <rFont val="Times New Roman"/>
        <family val="1"/>
      </rPr>
      <t xml:space="preserve"> content</t>
    </r>
    <r>
      <rPr>
        <vertAlign val="superscript"/>
        <sz val="8"/>
        <rFont val="Times New Roman"/>
        <family val="1"/>
      </rPr>
      <t>e</t>
    </r>
  </si>
  <si>
    <r>
      <t>Salt, all types</t>
    </r>
    <r>
      <rPr>
        <vertAlign val="superscript"/>
        <sz val="8"/>
        <rFont val="Times New Roman"/>
        <family val="1"/>
      </rPr>
      <t>e</t>
    </r>
  </si>
  <si>
    <t>Stone, sand and gravel, construction:</t>
  </si>
  <si>
    <t>Sand and gravel</t>
  </si>
  <si>
    <t>Gravel</t>
  </si>
  <si>
    <t>Sand</t>
  </si>
  <si>
    <t>Stone:</t>
  </si>
  <si>
    <t>Crushed:</t>
  </si>
  <si>
    <t>Calcite, common</t>
  </si>
  <si>
    <t>Dolomite</t>
  </si>
  <si>
    <t>Limestone</t>
  </si>
  <si>
    <t>Marble</t>
  </si>
  <si>
    <t>Quartz and quartzite</t>
  </si>
  <si>
    <t>Sulfur, S content</t>
  </si>
  <si>
    <t>Talc</t>
  </si>
  <si>
    <t>Vermiculite</t>
  </si>
  <si>
    <t>Wollastonite</t>
  </si>
  <si>
    <t>MINERAL FUELS AND RELATED MATERIALS</t>
  </si>
  <si>
    <t>Coal:</t>
  </si>
  <si>
    <t>Bituminous and subbituminous</t>
  </si>
  <si>
    <t>Metallurgical</t>
  </si>
  <si>
    <t>Coke, breeze and metallurgical</t>
  </si>
  <si>
    <t>Natural gas, marketable</t>
  </si>
  <si>
    <t>million cubic meters</t>
  </si>
  <si>
    <t>Petroleum:</t>
  </si>
  <si>
    <t>Condensate, natural gas liquids</t>
  </si>
  <si>
    <t>thousand 42-gallon barrels</t>
  </si>
  <si>
    <t>Crude</t>
  </si>
  <si>
    <r>
      <t>e</t>
    </r>
    <r>
      <rPr>
        <sz val="8"/>
        <rFont val="Times New Roman"/>
        <family val="1"/>
      </rPr>
      <t xml:space="preserve">Estimated.  </t>
    </r>
    <r>
      <rPr>
        <vertAlign val="superscript"/>
        <sz val="8"/>
        <rFont val="Times New Roman"/>
        <family val="1"/>
      </rPr>
      <t>r</t>
    </r>
    <r>
      <rPr>
        <sz val="8"/>
        <rFont val="Times New Roman"/>
        <family val="1"/>
      </rPr>
      <t>Revised.  Do., do., Ditto. -- Zero.</t>
    </r>
  </si>
  <si>
    <r>
      <t>1</t>
    </r>
    <r>
      <rPr>
        <sz val="8"/>
        <rFont val="Times New Roman"/>
        <family val="1"/>
      </rPr>
      <t>Table includes data available through February 6, 2023. All data are reported unless otherwise noted. Estimated data are rounded to no more than three significant digits; may not add to totals shown.</t>
    </r>
  </si>
  <si>
    <r>
      <t>2</t>
    </r>
    <r>
      <rPr>
        <sz val="8"/>
        <rFont val="Times New Roman"/>
        <family val="1"/>
      </rPr>
      <t>In addition to the commodities listed, secondary aluminum and additional types of crude construction materials may have been produced, but available information was inadequate to make reliable estimates of output.</t>
    </r>
  </si>
  <si>
    <r>
      <t>3</t>
    </r>
    <r>
      <rPr>
        <sz val="8"/>
        <rFont val="Times New Roman"/>
        <family val="1"/>
      </rPr>
      <t>Sources: The Instituto Nacional de Estadística y Geografia and the Servicio Geológico Mexicano, Secretaría de Economía.</t>
    </r>
  </si>
  <si>
    <r>
      <t>4</t>
    </r>
    <r>
      <rPr>
        <sz val="8"/>
        <rFont val="Times New Roman"/>
        <family val="1"/>
      </rPr>
      <t>Figures based on U.S. import data from the U.S. Census Bureau.</t>
    </r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</si>
  <si>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</si>
  <si>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</si>
  <si>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</si>
  <si>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</si>
  <si>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</si>
  <si>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</si>
  <si>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</si>
  <si>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</si>
  <si>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</si>
  <si>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May 16,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</si>
</sst>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perscript"/>
      <sz val="8"/>
      <name val="Times New Roman"/>
      <family val="1"/>
    </font>
    <font>
      <sz val="8"/>
      <name val="Times New Roman"/>
      <family val="1"/>
    </font>
    <font>
      <sz val="12"/>
      <name val="Calibri"/>
      <family val="2"/>
      <scheme val="minor"/>
    </font>
    <font>
      <vertAlign val="sub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5" fillId="0" borderId="0"/>
    <xf numFmtId="0" fontId="1" fillId="0" borderId="0"/>
  </cellStyleXfs>
  <cellXfs count="51">
    <xf numFmtId="0" fontId="0" fillId="0" borderId="0" xfId="0" applyNumberFormat="1"/>
    <xf numFmtId="49" fontId="5" fillId="0" borderId="1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1" applyNumberFormat="1" applyFont="1" applyFill="1" applyAlignment="1">
      <alignment horizontal="right" vertical="center"/>
    </xf>
    <xf numFmtId="49" fontId="5" fillId="0" borderId="1" xfId="0" applyNumberFormat="1" applyFont="1" applyFill="1" applyBorder="1" applyAlignment="1">
      <alignment horizontal="left" vertical="center" indent="1"/>
    </xf>
    <xf numFmtId="49" fontId="5" fillId="0" borderId="1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Alignment="1">
      <alignment vertical="center"/>
    </xf>
    <xf numFmtId="49" fontId="5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vertical="center"/>
    </xf>
    <xf numFmtId="165" fontId="5" fillId="0" borderId="0" xfId="0" applyNumberFormat="1" applyFont="1" applyFill="1" applyAlignment="1">
      <alignment vertical="center"/>
    </xf>
    <xf numFmtId="49" fontId="5" fillId="0" borderId="1" xfId="1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/>
    </xf>
    <xf numFmtId="164" fontId="5" fillId="0" borderId="0" xfId="1" applyNumberFormat="1" applyFont="1" applyFill="1" applyAlignment="1">
      <alignment horizontal="right" vertical="center"/>
    </xf>
    <xf numFmtId="49" fontId="5" fillId="0" borderId="0" xfId="1" applyNumberFormat="1" applyFont="1" applyFill="1" applyAlignment="1">
      <alignment horizontal="right" vertical="center"/>
    </xf>
    <xf numFmtId="3" fontId="5" fillId="0" borderId="3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49" fontId="5" fillId="0" borderId="1" xfId="0" applyNumberFormat="1" applyFont="1" applyFill="1" applyBorder="1" applyAlignment="1">
      <alignment horizontal="left" vertical="center" indent="2"/>
    </xf>
    <xf numFmtId="0" fontId="5" fillId="0" borderId="0" xfId="0" applyNumberFormat="1" applyFont="1" applyFill="1" applyAlignment="1">
      <alignment horizontal="left" vertical="center"/>
    </xf>
    <xf numFmtId="0" fontId="5" fillId="0" borderId="0" xfId="0" applyNumberFormat="1" applyFont="1" applyFill="1" applyAlignment="1">
      <alignment horizontal="right" vertical="center"/>
    </xf>
    <xf numFmtId="49" fontId="5" fillId="0" borderId="1" xfId="0" applyNumberFormat="1" applyFont="1" applyFill="1" applyBorder="1" applyAlignment="1">
      <alignment horizontal="left" vertical="center" indent="3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/>
    </xf>
    <xf numFmtId="0" fontId="8" fillId="2" borderId="5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1" fillId="0" borderId="0" xfId="4"/>
    <xf numFmtId="0" fontId="9" fillId="2" borderId="7" xfId="3" applyFont="1" applyFill="1" applyBorder="1" applyAlignment="1">
      <alignment horizontal="center"/>
    </xf>
    <xf numFmtId="0" fontId="9" fillId="2" borderId="0" xfId="3" applyFont="1" applyFill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10" fillId="2" borderId="7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8" xfId="4" applyFont="1" applyFill="1" applyBorder="1" applyAlignment="1">
      <alignment horizontal="center"/>
    </xf>
    <xf numFmtId="0" fontId="11" fillId="0" borderId="0" xfId="4" applyFont="1" applyAlignment="1">
      <alignment horizontal="left"/>
    </xf>
    <xf numFmtId="0" fontId="12" fillId="2" borderId="7" xfId="4" applyFont="1" applyFill="1" applyBorder="1" applyAlignment="1">
      <alignment horizontal="center" vertical="center" wrapText="1" readingOrder="1"/>
    </xf>
    <xf numFmtId="0" fontId="12" fillId="2" borderId="0" xfId="4" applyFont="1" applyFill="1" applyAlignment="1">
      <alignment horizontal="center" vertical="center" wrapText="1" readingOrder="1"/>
    </xf>
    <xf numFmtId="0" fontId="12" fillId="2" borderId="8" xfId="4" applyFont="1" applyFill="1" applyBorder="1" applyAlignment="1">
      <alignment horizontal="center" vertical="center" wrapText="1" readingOrder="1"/>
    </xf>
    <xf numFmtId="0" fontId="13" fillId="2" borderId="7" xfId="4" applyFont="1" applyFill="1" applyBorder="1" applyAlignment="1">
      <alignment horizontal="center" vertical="center" readingOrder="1"/>
    </xf>
    <xf numFmtId="0" fontId="13" fillId="2" borderId="0" xfId="4" applyFont="1" applyFill="1" applyAlignment="1">
      <alignment horizontal="center" vertical="center" readingOrder="1"/>
    </xf>
    <xf numFmtId="0" fontId="13" fillId="2" borderId="8" xfId="4" applyFont="1" applyFill="1" applyBorder="1" applyAlignment="1">
      <alignment horizontal="center" vertical="center" readingOrder="1"/>
    </xf>
    <xf numFmtId="0" fontId="12" fillId="2" borderId="9" xfId="4" applyFont="1" applyFill="1" applyBorder="1" applyAlignment="1">
      <alignment horizontal="centerContinuous" vertical="center" readingOrder="1"/>
    </xf>
    <xf numFmtId="0" fontId="1" fillId="2" borderId="3" xfId="4" applyFill="1" applyBorder="1" applyAlignment="1">
      <alignment horizontal="centerContinuous"/>
    </xf>
    <xf numFmtId="0" fontId="1" fillId="2" borderId="10" xfId="4" applyFill="1" applyBorder="1" applyAlignment="1">
      <alignment horizontal="centerContinuous"/>
    </xf>
  </cellXfs>
  <cellStyles count="5">
    <cellStyle name="Comma" xfId="1" builtinId="3"/>
    <cellStyle name="Normal" xfId="0" builtinId="0"/>
    <cellStyle name="Normal 2" xfId="3" xr:uid="{1A4B493C-C9B2-433C-A551-9D62EBC68AE4}"/>
    <cellStyle name="Normal 3" xfId="2" xr:uid="{1B818786-17AB-4B58-9EA9-C50AA22168D3}"/>
    <cellStyle name="Normal 4" xfId="4" xr:uid="{7C466F5F-0B66-4B69-BEAE-09BDA35C676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4C7F5094-FC0D-40A6-B0E7-FFDDE75E4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E701-1E18-4316-B0A0-293E44E4FA87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4"/>
  </cols>
  <sheetData>
    <row r="5" spans="1:12" ht="42.75" customHeight="1" x14ac:dyDescent="0.4">
      <c r="A5" s="31" t="s">
        <v>112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</row>
    <row r="6" spans="1:12" ht="48" customHeight="1" x14ac:dyDescent="0.6">
      <c r="A6" s="35" t="s">
        <v>113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7"/>
    </row>
    <row r="7" spans="1:12" s="41" customFormat="1" ht="23.25" x14ac:dyDescent="0.35">
      <c r="A7" s="38" t="s">
        <v>114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12" s="41" customFormat="1" ht="23.25" x14ac:dyDescent="0.35">
      <c r="A8" s="38" t="s">
        <v>115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s="41" customFormat="1" ht="23.25" x14ac:dyDescent="0.35">
      <c r="A9" s="38" t="s">
        <v>116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s="41" customFormat="1" ht="23.25" x14ac:dyDescent="0.35">
      <c r="A10" s="38" t="s">
        <v>117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s="41" customFormat="1" ht="23.25" x14ac:dyDescent="0.35">
      <c r="A11" s="38" t="s">
        <v>118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40"/>
    </row>
    <row r="12" spans="1:12" s="41" customFormat="1" ht="23.25" x14ac:dyDescent="0.35">
      <c r="A12" s="38" t="s">
        <v>119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s="41" customFormat="1" ht="23.25" x14ac:dyDescent="0.35">
      <c r="A13" s="38" t="s">
        <v>120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23.45" customHeight="1" x14ac:dyDescent="0.25">
      <c r="A14" s="42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ht="21" customHeight="1" x14ac:dyDescent="0.25">
      <c r="A15" s="45" t="s">
        <v>121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ht="23.25" x14ac:dyDescent="0.25">
      <c r="A16" s="48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"/>
  <sheetViews>
    <sheetView zoomScaleNormal="100" workbookViewId="0">
      <selection sqref="A1:N1"/>
    </sheetView>
  </sheetViews>
  <sheetFormatPr defaultColWidth="9" defaultRowHeight="11.25" x14ac:dyDescent="0.25"/>
  <cols>
    <col min="1" max="1" width="20.625" style="17" customWidth="1"/>
    <col min="2" max="2" width="14.625" style="18" customWidth="1"/>
    <col min="3" max="4" width="1.625" style="18" customWidth="1"/>
    <col min="5" max="5" width="7.625" style="12" customWidth="1"/>
    <col min="6" max="6" width="1.625" style="20" customWidth="1"/>
    <col min="7" max="7" width="7.625" style="12" customWidth="1"/>
    <col min="8" max="8" width="1.625" style="20" customWidth="1"/>
    <col min="9" max="9" width="7.625" style="12" customWidth="1"/>
    <col min="10" max="10" width="1.625" style="20" customWidth="1"/>
    <col min="11" max="11" width="8.375" style="12" bestFit="1" customWidth="1"/>
    <col min="12" max="12" width="1.625" style="20" customWidth="1"/>
    <col min="13" max="13" width="7.625" style="12" customWidth="1"/>
    <col min="14" max="14" width="1.625" style="20" customWidth="1"/>
    <col min="15" max="16384" width="9" style="6"/>
  </cols>
  <sheetData>
    <row r="1" spans="1:14" ht="11.25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1.2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3" spans="1:14" ht="11.25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6"/>
      <c r="L3" s="9"/>
      <c r="M3" s="6"/>
      <c r="N3" s="6"/>
    </row>
    <row r="4" spans="1:14" ht="11.25" customHeight="1" x14ac:dyDescent="0.25">
      <c r="A4" s="23" t="s">
        <v>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</row>
    <row r="5" spans="1:14" ht="11.25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8"/>
      <c r="K5" s="6"/>
      <c r="L5" s="9"/>
      <c r="M5" s="6"/>
      <c r="N5" s="6"/>
    </row>
    <row r="6" spans="1:14" ht="11.25" customHeight="1" x14ac:dyDescent="0.25">
      <c r="A6" s="29" t="s">
        <v>3</v>
      </c>
      <c r="B6" s="30"/>
      <c r="C6" s="22"/>
      <c r="D6" s="5"/>
      <c r="E6" s="10">
        <v>2017</v>
      </c>
      <c r="F6" s="11"/>
      <c r="G6" s="10">
        <v>2018</v>
      </c>
      <c r="H6" s="11"/>
      <c r="I6" s="10">
        <v>2019</v>
      </c>
      <c r="J6" s="11"/>
      <c r="K6" s="10" t="s">
        <v>4</v>
      </c>
      <c r="L6" s="11"/>
      <c r="M6" s="10" t="s">
        <v>5</v>
      </c>
      <c r="N6" s="11"/>
    </row>
    <row r="7" spans="1:14" ht="11.25" customHeight="1" x14ac:dyDescent="0.25">
      <c r="A7" s="29" t="s">
        <v>6</v>
      </c>
      <c r="B7" s="29"/>
      <c r="C7" s="29"/>
      <c r="D7" s="2"/>
      <c r="F7" s="21"/>
      <c r="H7" s="21"/>
      <c r="J7" s="21"/>
      <c r="L7" s="21"/>
      <c r="N7" s="21"/>
    </row>
    <row r="8" spans="1:14" ht="11.25" customHeight="1" x14ac:dyDescent="0.25">
      <c r="A8" s="1" t="s">
        <v>7</v>
      </c>
      <c r="B8" s="5"/>
      <c r="C8" s="5"/>
      <c r="D8" s="2"/>
      <c r="E8" s="3">
        <v>1300</v>
      </c>
      <c r="F8" s="21" t="s">
        <v>8</v>
      </c>
      <c r="G8" s="3">
        <v>800</v>
      </c>
      <c r="H8" s="21" t="s">
        <v>8</v>
      </c>
      <c r="I8" s="3">
        <v>800</v>
      </c>
      <c r="J8" s="21" t="s">
        <v>8</v>
      </c>
      <c r="K8" s="3">
        <v>700</v>
      </c>
      <c r="L8" s="21"/>
      <c r="M8" s="3">
        <v>700</v>
      </c>
      <c r="N8" s="21"/>
    </row>
    <row r="9" spans="1:14" ht="11.25" customHeight="1" x14ac:dyDescent="0.25">
      <c r="A9" s="1" t="s">
        <v>9</v>
      </c>
      <c r="B9" s="5"/>
      <c r="C9" s="5"/>
      <c r="D9" s="2"/>
      <c r="E9" s="3">
        <v>513</v>
      </c>
      <c r="F9" s="21"/>
      <c r="G9" s="3">
        <v>333</v>
      </c>
      <c r="H9" s="21"/>
      <c r="I9" s="3">
        <v>300</v>
      </c>
      <c r="J9" s="21"/>
      <c r="K9" s="3">
        <v>10</v>
      </c>
      <c r="L9" s="21"/>
      <c r="M9" s="3">
        <v>10</v>
      </c>
      <c r="N9" s="21" t="s">
        <v>10</v>
      </c>
    </row>
    <row r="10" spans="1:14" ht="11.25" customHeight="1" x14ac:dyDescent="0.25">
      <c r="A10" s="1" t="s">
        <v>11</v>
      </c>
      <c r="B10" s="5"/>
      <c r="C10" s="5"/>
      <c r="D10" s="2"/>
      <c r="E10" s="3">
        <v>1142</v>
      </c>
      <c r="F10" s="21"/>
      <c r="G10" s="3">
        <v>1357</v>
      </c>
      <c r="H10" s="21"/>
      <c r="I10" s="3">
        <v>1395</v>
      </c>
      <c r="J10" s="21"/>
      <c r="K10" s="3">
        <v>978</v>
      </c>
      <c r="L10" s="21"/>
      <c r="M10" s="3">
        <v>859</v>
      </c>
      <c r="N10" s="21"/>
    </row>
    <row r="11" spans="1:14" ht="11.25" customHeight="1" x14ac:dyDescent="0.25">
      <c r="A11" s="1" t="s">
        <v>12</v>
      </c>
      <c r="B11" s="5"/>
      <c r="C11" s="5"/>
      <c r="D11" s="2"/>
      <c r="E11" s="3"/>
      <c r="F11" s="21"/>
      <c r="G11" s="3"/>
      <c r="H11" s="21"/>
      <c r="I11" s="3"/>
      <c r="J11" s="21"/>
      <c r="K11" s="3"/>
      <c r="L11" s="21"/>
      <c r="M11" s="3"/>
      <c r="N11" s="21"/>
    </row>
    <row r="12" spans="1:14" ht="11.25" customHeight="1" x14ac:dyDescent="0.25">
      <c r="A12" s="4" t="s">
        <v>13</v>
      </c>
      <c r="B12" s="5"/>
      <c r="C12" s="5"/>
      <c r="D12" s="2"/>
      <c r="E12" s="3">
        <v>1000</v>
      </c>
      <c r="F12" s="21"/>
      <c r="G12" s="3">
        <v>1400</v>
      </c>
      <c r="H12" s="21"/>
      <c r="I12" s="3">
        <v>1100</v>
      </c>
      <c r="J12" s="21"/>
      <c r="K12" s="13">
        <v>1000</v>
      </c>
      <c r="L12" s="21"/>
      <c r="M12" s="3">
        <v>1100</v>
      </c>
      <c r="N12" s="21"/>
    </row>
    <row r="13" spans="1:14" ht="11.25" customHeight="1" x14ac:dyDescent="0.25">
      <c r="A13" s="4" t="s">
        <v>14</v>
      </c>
      <c r="B13" s="5"/>
      <c r="C13" s="5"/>
      <c r="D13" s="2"/>
      <c r="E13" s="3">
        <v>420</v>
      </c>
      <c r="F13" s="21" t="s">
        <v>10</v>
      </c>
      <c r="G13" s="3">
        <v>226</v>
      </c>
      <c r="H13" s="21"/>
      <c r="I13" s="3">
        <v>215</v>
      </c>
      <c r="J13" s="21"/>
      <c r="K13" s="13">
        <v>190</v>
      </c>
      <c r="L13" s="21" t="s">
        <v>10</v>
      </c>
      <c r="M13" s="3">
        <v>220</v>
      </c>
      <c r="N13" s="21" t="s">
        <v>10</v>
      </c>
    </row>
    <row r="14" spans="1:14" ht="11.25" customHeight="1" x14ac:dyDescent="0.25">
      <c r="A14" s="1" t="s">
        <v>15</v>
      </c>
      <c r="B14" s="5"/>
      <c r="C14" s="5"/>
      <c r="D14" s="2"/>
      <c r="F14" s="21"/>
      <c r="H14" s="21"/>
      <c r="J14" s="21"/>
      <c r="L14" s="21"/>
      <c r="N14" s="21"/>
    </row>
    <row r="15" spans="1:14" ht="11.25" customHeight="1" x14ac:dyDescent="0.25">
      <c r="A15" s="4" t="s">
        <v>16</v>
      </c>
      <c r="B15" s="5"/>
      <c r="C15" s="5"/>
      <c r="D15" s="2"/>
      <c r="E15" s="3">
        <v>540200</v>
      </c>
      <c r="F15" s="21" t="s">
        <v>8</v>
      </c>
      <c r="G15" s="3">
        <v>517300</v>
      </c>
      <c r="H15" s="21" t="s">
        <v>8</v>
      </c>
      <c r="I15" s="3">
        <v>526100</v>
      </c>
      <c r="J15" s="21" t="s">
        <v>8</v>
      </c>
      <c r="K15" s="3">
        <v>566100</v>
      </c>
      <c r="L15" s="21"/>
      <c r="M15" s="3">
        <v>551100</v>
      </c>
      <c r="N15" s="21"/>
    </row>
    <row r="16" spans="1:14" ht="11.25" customHeight="1" x14ac:dyDescent="0.25">
      <c r="A16" s="4" t="s">
        <v>17</v>
      </c>
      <c r="B16" s="5"/>
      <c r="C16" s="5"/>
      <c r="D16" s="2"/>
      <c r="E16" s="14">
        <v>202000</v>
      </c>
      <c r="F16" s="15" t="s">
        <v>8</v>
      </c>
      <c r="G16" s="14">
        <v>179300</v>
      </c>
      <c r="H16" s="15" t="s">
        <v>8</v>
      </c>
      <c r="I16" s="14">
        <v>187600</v>
      </c>
      <c r="J16" s="15" t="s">
        <v>8</v>
      </c>
      <c r="K16" s="14">
        <v>166800</v>
      </c>
      <c r="L16" s="15"/>
      <c r="M16" s="14">
        <v>183000</v>
      </c>
      <c r="N16" s="21"/>
    </row>
    <row r="17" spans="1:14" ht="11.25" customHeight="1" x14ac:dyDescent="0.25">
      <c r="A17" s="4" t="s">
        <v>18</v>
      </c>
      <c r="B17" s="5"/>
      <c r="C17" s="5"/>
      <c r="D17" s="2"/>
      <c r="E17" s="3">
        <f>E15+E16</f>
        <v>742200</v>
      </c>
      <c r="F17" s="21"/>
      <c r="G17" s="3">
        <f>G15+G16</f>
        <v>696600</v>
      </c>
      <c r="H17" s="21"/>
      <c r="I17" s="3">
        <f>SUM(I15:I16)</f>
        <v>713700</v>
      </c>
      <c r="J17" s="21"/>
      <c r="K17" s="3">
        <f>SUM(K15:K16)</f>
        <v>732900</v>
      </c>
      <c r="L17" s="21"/>
      <c r="M17" s="3">
        <f>SUM(M15:M16)</f>
        <v>734100</v>
      </c>
      <c r="N17" s="21"/>
    </row>
    <row r="18" spans="1:14" ht="11.25" customHeight="1" x14ac:dyDescent="0.25">
      <c r="A18" s="4" t="s">
        <v>19</v>
      </c>
      <c r="B18" s="5"/>
      <c r="C18" s="5"/>
      <c r="D18" s="2"/>
      <c r="E18" s="3"/>
      <c r="F18" s="21"/>
      <c r="G18" s="3"/>
      <c r="H18" s="21"/>
      <c r="I18" s="3"/>
      <c r="J18" s="21"/>
      <c r="K18" s="3"/>
      <c r="L18" s="21"/>
      <c r="M18" s="3"/>
      <c r="N18" s="21"/>
    </row>
    <row r="19" spans="1:14" ht="11.25" customHeight="1" x14ac:dyDescent="0.25">
      <c r="A19" s="16" t="s">
        <v>20</v>
      </c>
      <c r="B19" s="5"/>
      <c r="C19" s="5"/>
      <c r="D19" s="2"/>
      <c r="E19" s="3">
        <v>270200</v>
      </c>
      <c r="F19" s="21" t="s">
        <v>8</v>
      </c>
      <c r="G19" s="3">
        <v>286200</v>
      </c>
      <c r="H19" s="21"/>
      <c r="I19" s="3">
        <v>277700</v>
      </c>
      <c r="J19" s="21" t="s">
        <v>8</v>
      </c>
      <c r="K19" s="3">
        <v>283600</v>
      </c>
      <c r="L19" s="21" t="s">
        <v>8</v>
      </c>
      <c r="M19" s="3">
        <v>289200</v>
      </c>
      <c r="N19" s="21"/>
    </row>
    <row r="20" spans="1:14" ht="11.25" customHeight="1" x14ac:dyDescent="0.25">
      <c r="A20" s="16" t="s">
        <v>21</v>
      </c>
      <c r="B20" s="5"/>
      <c r="C20" s="5"/>
      <c r="D20" s="2"/>
      <c r="E20" s="3">
        <v>5000</v>
      </c>
      <c r="F20" s="21"/>
      <c r="G20" s="3">
        <v>5000</v>
      </c>
      <c r="H20" s="21"/>
      <c r="I20" s="3">
        <v>5000</v>
      </c>
      <c r="J20" s="21"/>
      <c r="K20" s="3">
        <v>5000</v>
      </c>
      <c r="L20" s="21"/>
      <c r="M20" s="3">
        <v>5000</v>
      </c>
      <c r="N20" s="21"/>
    </row>
    <row r="21" spans="1:14" ht="11.25" customHeight="1" x14ac:dyDescent="0.25">
      <c r="A21" s="4" t="s">
        <v>22</v>
      </c>
      <c r="B21" s="5"/>
      <c r="C21" s="5"/>
      <c r="D21" s="2"/>
      <c r="E21" s="3"/>
      <c r="F21" s="21"/>
      <c r="G21" s="3"/>
      <c r="H21" s="21"/>
      <c r="I21" s="3"/>
      <c r="J21" s="21"/>
      <c r="K21" s="3"/>
      <c r="L21" s="21"/>
      <c r="M21" s="3"/>
      <c r="N21" s="21"/>
    </row>
    <row r="22" spans="1:14" ht="11.25" customHeight="1" x14ac:dyDescent="0.25">
      <c r="A22" s="16" t="s">
        <v>20</v>
      </c>
      <c r="B22" s="5"/>
      <c r="C22" s="5"/>
      <c r="D22" s="2"/>
      <c r="E22" s="3">
        <v>256300</v>
      </c>
      <c r="F22" s="21" t="s">
        <v>8</v>
      </c>
      <c r="G22" s="3">
        <v>289300</v>
      </c>
      <c r="H22" s="21" t="s">
        <v>8</v>
      </c>
      <c r="I22" s="3">
        <v>294300</v>
      </c>
      <c r="J22" s="21" t="s">
        <v>23</v>
      </c>
      <c r="K22" s="3">
        <v>320100</v>
      </c>
      <c r="L22" s="21"/>
      <c r="M22" s="3">
        <v>284800</v>
      </c>
      <c r="N22" s="21"/>
    </row>
    <row r="23" spans="1:14" ht="11.25" customHeight="1" x14ac:dyDescent="0.25">
      <c r="A23" s="16" t="s">
        <v>21</v>
      </c>
      <c r="B23" s="5"/>
      <c r="C23" s="5"/>
      <c r="D23" s="2"/>
      <c r="E23" s="3">
        <v>5000</v>
      </c>
      <c r="F23" s="21"/>
      <c r="G23" s="3">
        <v>5000</v>
      </c>
      <c r="H23" s="21"/>
      <c r="I23" s="3">
        <v>5000</v>
      </c>
      <c r="J23" s="21"/>
      <c r="K23" s="3">
        <v>5000</v>
      </c>
      <c r="L23" s="21"/>
      <c r="M23" s="3">
        <v>5000</v>
      </c>
      <c r="N23" s="21"/>
    </row>
    <row r="24" spans="1:14" ht="11.25" customHeight="1" x14ac:dyDescent="0.25">
      <c r="A24" s="1" t="s">
        <v>24</v>
      </c>
      <c r="B24" s="5"/>
      <c r="C24" s="5"/>
      <c r="D24" s="2"/>
      <c r="E24" s="3"/>
      <c r="F24" s="21"/>
      <c r="G24" s="3"/>
      <c r="H24" s="21"/>
      <c r="I24" s="3"/>
      <c r="J24" s="21"/>
      <c r="K24" s="3"/>
      <c r="L24" s="21"/>
      <c r="M24" s="3"/>
      <c r="N24" s="21"/>
    </row>
    <row r="25" spans="1:14" ht="11.25" customHeight="1" x14ac:dyDescent="0.25">
      <c r="A25" s="4" t="s">
        <v>25</v>
      </c>
      <c r="B25" s="5"/>
      <c r="C25" s="5"/>
      <c r="D25" s="2"/>
      <c r="E25" s="3">
        <v>90013</v>
      </c>
      <c r="F25" s="21"/>
      <c r="G25" s="3">
        <v>95468</v>
      </c>
      <c r="H25" s="21"/>
      <c r="I25" s="3">
        <v>73000</v>
      </c>
      <c r="J25" s="21"/>
      <c r="K25" s="3">
        <v>57000</v>
      </c>
      <c r="L25" s="21"/>
      <c r="M25" s="3">
        <v>72000</v>
      </c>
      <c r="N25" s="21"/>
    </row>
    <row r="26" spans="1:14" ht="11.25" customHeight="1" x14ac:dyDescent="0.25">
      <c r="A26" s="4" t="s">
        <v>26</v>
      </c>
      <c r="B26" s="5"/>
      <c r="C26" s="5"/>
      <c r="D26" s="2"/>
      <c r="E26" s="3">
        <v>148130</v>
      </c>
      <c r="F26" s="21"/>
      <c r="G26" s="3">
        <v>152000</v>
      </c>
      <c r="H26" s="21"/>
      <c r="I26" s="3">
        <v>154000</v>
      </c>
      <c r="J26" s="21"/>
      <c r="K26" s="3">
        <v>148000</v>
      </c>
      <c r="L26" s="21"/>
      <c r="M26" s="3">
        <v>171000</v>
      </c>
      <c r="N26" s="21"/>
    </row>
    <row r="27" spans="1:14" ht="11.25" customHeight="1" x14ac:dyDescent="0.25">
      <c r="A27" s="1" t="s">
        <v>27</v>
      </c>
      <c r="B27" s="5"/>
      <c r="C27" s="5"/>
      <c r="D27" s="2"/>
      <c r="E27" s="3"/>
      <c r="F27" s="21"/>
      <c r="G27" s="3"/>
      <c r="H27" s="21"/>
      <c r="I27" s="3"/>
      <c r="J27" s="21"/>
      <c r="K27" s="3"/>
      <c r="L27" s="21"/>
      <c r="M27" s="3"/>
      <c r="N27" s="21"/>
    </row>
    <row r="28" spans="1:14" ht="11.25" customHeight="1" x14ac:dyDescent="0.25">
      <c r="A28" s="4" t="s">
        <v>28</v>
      </c>
      <c r="B28" s="5"/>
      <c r="C28" s="5" t="s">
        <v>29</v>
      </c>
      <c r="D28" s="2"/>
      <c r="E28" s="3">
        <v>130470</v>
      </c>
      <c r="F28" s="21"/>
      <c r="G28" s="3">
        <v>117323</v>
      </c>
      <c r="H28" s="21"/>
      <c r="I28" s="3">
        <v>111404</v>
      </c>
      <c r="J28" s="21"/>
      <c r="K28" s="3">
        <v>101631</v>
      </c>
      <c r="L28" s="21"/>
      <c r="M28" s="3">
        <v>120000</v>
      </c>
      <c r="N28" s="21" t="s">
        <v>10</v>
      </c>
    </row>
    <row r="29" spans="1:14" ht="11.25" customHeight="1" x14ac:dyDescent="0.25">
      <c r="A29" s="4" t="s">
        <v>30</v>
      </c>
      <c r="B29" s="5"/>
      <c r="C29" s="5" t="s">
        <v>31</v>
      </c>
      <c r="D29" s="2"/>
      <c r="E29" s="3">
        <v>37974</v>
      </c>
      <c r="F29" s="21"/>
      <c r="G29" s="3">
        <v>35000</v>
      </c>
      <c r="H29" s="21" t="s">
        <v>10</v>
      </c>
      <c r="I29" s="3">
        <v>35000</v>
      </c>
      <c r="J29" s="21" t="s">
        <v>10</v>
      </c>
      <c r="K29" s="3">
        <v>31100</v>
      </c>
      <c r="L29" s="21" t="s">
        <v>10</v>
      </c>
      <c r="M29" s="3">
        <v>37324</v>
      </c>
      <c r="N29" s="21"/>
    </row>
    <row r="30" spans="1:14" ht="11.25" customHeight="1" x14ac:dyDescent="0.25">
      <c r="A30" s="1" t="s">
        <v>32</v>
      </c>
      <c r="B30" s="5"/>
      <c r="C30" s="5"/>
      <c r="D30" s="2"/>
      <c r="E30" s="3"/>
      <c r="F30" s="21"/>
      <c r="G30" s="3"/>
      <c r="H30" s="21"/>
      <c r="I30" s="3"/>
      <c r="J30" s="21"/>
      <c r="K30" s="3"/>
      <c r="L30" s="21"/>
      <c r="M30" s="3"/>
      <c r="N30" s="21"/>
    </row>
    <row r="31" spans="1:14" ht="11.25" customHeight="1" x14ac:dyDescent="0.25">
      <c r="A31" s="4" t="s">
        <v>33</v>
      </c>
      <c r="B31" s="5"/>
      <c r="C31" s="5" t="s">
        <v>34</v>
      </c>
      <c r="D31" s="2"/>
      <c r="E31" s="3">
        <v>18600</v>
      </c>
      <c r="F31" s="21"/>
      <c r="G31" s="3">
        <v>22300</v>
      </c>
      <c r="H31" s="21"/>
      <c r="I31" s="3">
        <v>11300</v>
      </c>
      <c r="J31" s="21"/>
      <c r="K31" s="3">
        <v>9300</v>
      </c>
      <c r="L31" s="21" t="s">
        <v>8</v>
      </c>
      <c r="M31" s="3">
        <v>10800</v>
      </c>
      <c r="N31" s="21"/>
    </row>
    <row r="32" spans="1:14" ht="11.25" customHeight="1" x14ac:dyDescent="0.25">
      <c r="A32" s="4" t="s">
        <v>35</v>
      </c>
      <c r="B32" s="5"/>
      <c r="C32" s="5" t="s">
        <v>31</v>
      </c>
      <c r="D32" s="2"/>
      <c r="E32" s="3">
        <v>11713</v>
      </c>
      <c r="F32" s="21"/>
      <c r="G32" s="3">
        <v>14021</v>
      </c>
      <c r="H32" s="21"/>
      <c r="I32" s="3">
        <v>7141</v>
      </c>
      <c r="J32" s="21"/>
      <c r="K32" s="3">
        <v>5859</v>
      </c>
      <c r="L32" s="21" t="s">
        <v>8</v>
      </c>
      <c r="M32" s="3">
        <v>6807</v>
      </c>
      <c r="N32" s="21"/>
    </row>
    <row r="33" spans="1:14" ht="11.25" customHeight="1" x14ac:dyDescent="0.25">
      <c r="A33" s="1" t="s">
        <v>36</v>
      </c>
      <c r="B33" s="7"/>
      <c r="C33" s="7"/>
      <c r="D33" s="2"/>
      <c r="E33" s="3"/>
      <c r="F33" s="21"/>
      <c r="G33" s="3"/>
      <c r="H33" s="21"/>
      <c r="I33" s="3"/>
      <c r="J33" s="21"/>
      <c r="K33" s="3"/>
      <c r="L33" s="21"/>
      <c r="M33" s="3"/>
      <c r="N33" s="21"/>
    </row>
    <row r="34" spans="1:14" ht="11.25" customHeight="1" x14ac:dyDescent="0.25">
      <c r="A34" s="4" t="s">
        <v>37</v>
      </c>
      <c r="B34" s="5"/>
      <c r="C34" s="5" t="s">
        <v>31</v>
      </c>
      <c r="D34" s="2"/>
      <c r="E34" s="3">
        <v>6011</v>
      </c>
      <c r="F34" s="21"/>
      <c r="G34" s="3">
        <v>5972</v>
      </c>
      <c r="H34" s="21" t="s">
        <v>8</v>
      </c>
      <c r="I34" s="3">
        <v>5975</v>
      </c>
      <c r="J34" s="21"/>
      <c r="K34" s="3">
        <v>5170</v>
      </c>
      <c r="L34" s="21"/>
      <c r="M34" s="3">
        <v>5792</v>
      </c>
      <c r="N34" s="21"/>
    </row>
    <row r="35" spans="1:14" ht="11.25" customHeight="1" x14ac:dyDescent="0.25">
      <c r="A35" s="4" t="s">
        <v>38</v>
      </c>
      <c r="B35" s="5"/>
      <c r="C35" s="5" t="s">
        <v>31</v>
      </c>
      <c r="D35" s="2"/>
      <c r="E35" s="3">
        <v>4245</v>
      </c>
      <c r="F35" s="21"/>
      <c r="G35" s="3">
        <v>4428</v>
      </c>
      <c r="H35" s="21"/>
      <c r="I35" s="3">
        <v>3840</v>
      </c>
      <c r="J35" s="21"/>
      <c r="K35" s="3">
        <v>2436</v>
      </c>
      <c r="L35" s="21" t="s">
        <v>8</v>
      </c>
      <c r="M35" s="3">
        <v>2747</v>
      </c>
      <c r="N35" s="21"/>
    </row>
    <row r="36" spans="1:14" ht="11.25" customHeight="1" x14ac:dyDescent="0.25">
      <c r="A36" s="4" t="s">
        <v>39</v>
      </c>
      <c r="B36" s="5"/>
      <c r="C36" s="5"/>
      <c r="D36" s="2"/>
      <c r="E36" s="3"/>
      <c r="F36" s="21"/>
      <c r="G36" s="3"/>
      <c r="H36" s="21"/>
      <c r="I36" s="3"/>
      <c r="J36" s="21"/>
      <c r="K36" s="3"/>
      <c r="L36" s="21"/>
      <c r="M36" s="3"/>
      <c r="N36" s="21"/>
    </row>
    <row r="37" spans="1:14" ht="11.25" customHeight="1" x14ac:dyDescent="0.25">
      <c r="A37" s="16" t="s">
        <v>40</v>
      </c>
      <c r="B37" s="5"/>
      <c r="C37" s="5" t="s">
        <v>31</v>
      </c>
      <c r="D37" s="2"/>
      <c r="E37" s="3">
        <v>19924</v>
      </c>
      <c r="F37" s="21"/>
      <c r="G37" s="3">
        <v>20204</v>
      </c>
      <c r="H37" s="21" t="s">
        <v>8</v>
      </c>
      <c r="I37" s="3">
        <v>18595</v>
      </c>
      <c r="J37" s="21"/>
      <c r="K37" s="3">
        <v>16803</v>
      </c>
      <c r="L37" s="21"/>
      <c r="M37" s="3">
        <v>18473</v>
      </c>
      <c r="N37" s="21"/>
    </row>
    <row r="38" spans="1:14" ht="11.25" customHeight="1" x14ac:dyDescent="0.25">
      <c r="A38" s="16" t="s">
        <v>41</v>
      </c>
      <c r="B38" s="5"/>
      <c r="C38" s="5" t="s">
        <v>31</v>
      </c>
      <c r="D38" s="2"/>
      <c r="E38" s="3">
        <v>18694</v>
      </c>
      <c r="F38" s="21"/>
      <c r="G38" s="3">
        <v>18872</v>
      </c>
      <c r="H38" s="21"/>
      <c r="I38" s="3">
        <v>18131</v>
      </c>
      <c r="J38" s="21"/>
      <c r="K38" s="3">
        <v>18100</v>
      </c>
      <c r="L38" s="21" t="s">
        <v>10</v>
      </c>
      <c r="M38" s="3">
        <v>18100</v>
      </c>
      <c r="N38" s="21" t="s">
        <v>10</v>
      </c>
    </row>
    <row r="39" spans="1:14" ht="11.25" customHeight="1" x14ac:dyDescent="0.25">
      <c r="A39" s="1" t="s">
        <v>42</v>
      </c>
      <c r="B39" s="5"/>
      <c r="C39" s="5"/>
      <c r="D39" s="2"/>
      <c r="E39" s="3"/>
      <c r="F39" s="21"/>
      <c r="G39" s="3"/>
      <c r="H39" s="21"/>
      <c r="I39" s="3"/>
      <c r="J39" s="21"/>
      <c r="K39" s="3"/>
      <c r="L39" s="21"/>
      <c r="M39" s="3"/>
      <c r="N39" s="21"/>
    </row>
    <row r="40" spans="1:14" ht="11.25" customHeight="1" x14ac:dyDescent="0.25">
      <c r="A40" s="4" t="s">
        <v>43</v>
      </c>
      <c r="B40" s="5"/>
      <c r="C40" s="5"/>
      <c r="D40" s="2"/>
      <c r="E40" s="3">
        <v>243022</v>
      </c>
      <c r="F40" s="21"/>
      <c r="G40" s="3">
        <v>240304</v>
      </c>
      <c r="H40" s="21" t="s">
        <v>8</v>
      </c>
      <c r="I40" s="3">
        <v>259457</v>
      </c>
      <c r="J40" s="21" t="s">
        <v>8</v>
      </c>
      <c r="K40" s="3">
        <v>260390</v>
      </c>
      <c r="L40" s="21" t="s">
        <v>8</v>
      </c>
      <c r="M40" s="3">
        <v>272231</v>
      </c>
      <c r="N40" s="21"/>
    </row>
    <row r="41" spans="1:14" ht="11.25" customHeight="1" x14ac:dyDescent="0.25">
      <c r="A41" s="4" t="s">
        <v>22</v>
      </c>
      <c r="B41" s="5"/>
      <c r="C41" s="5"/>
      <c r="D41" s="2"/>
      <c r="E41" s="3"/>
      <c r="F41" s="21"/>
      <c r="G41" s="3"/>
      <c r="H41" s="21"/>
      <c r="I41" s="3"/>
      <c r="J41" s="21"/>
      <c r="K41" s="3"/>
      <c r="L41" s="21"/>
      <c r="M41" s="3"/>
      <c r="N41" s="21"/>
    </row>
    <row r="42" spans="1:14" ht="11.25" customHeight="1" x14ac:dyDescent="0.25">
      <c r="A42" s="16" t="s">
        <v>20</v>
      </c>
      <c r="B42" s="5"/>
      <c r="C42" s="5"/>
      <c r="D42" s="2"/>
      <c r="E42" s="3">
        <v>92535</v>
      </c>
      <c r="F42" s="21"/>
      <c r="G42" s="3">
        <v>104100</v>
      </c>
      <c r="H42" s="21" t="s">
        <v>10</v>
      </c>
      <c r="I42" s="3">
        <v>119000</v>
      </c>
      <c r="J42" s="21"/>
      <c r="K42" s="3">
        <v>112000</v>
      </c>
      <c r="L42" s="21" t="s">
        <v>10</v>
      </c>
      <c r="M42" s="3">
        <v>120000</v>
      </c>
      <c r="N42" s="21"/>
    </row>
    <row r="43" spans="1:14" ht="11.25" customHeight="1" x14ac:dyDescent="0.25">
      <c r="A43" s="16" t="s">
        <v>44</v>
      </c>
      <c r="B43" s="5"/>
      <c r="C43" s="5"/>
      <c r="D43" s="2"/>
      <c r="E43" s="3">
        <v>230000</v>
      </c>
      <c r="F43" s="21" t="s">
        <v>10</v>
      </c>
      <c r="G43" s="3">
        <v>330000</v>
      </c>
      <c r="H43" s="21" t="s">
        <v>10</v>
      </c>
      <c r="I43" s="3">
        <v>328000</v>
      </c>
      <c r="J43" s="21"/>
      <c r="K43" s="3">
        <v>300000</v>
      </c>
      <c r="L43" s="21" t="s">
        <v>10</v>
      </c>
      <c r="M43" s="3">
        <v>300000</v>
      </c>
      <c r="N43" s="21"/>
    </row>
    <row r="44" spans="1:14" ht="11.25" customHeight="1" x14ac:dyDescent="0.25">
      <c r="A44" s="1" t="s">
        <v>45</v>
      </c>
      <c r="B44" s="5"/>
      <c r="C44" s="5"/>
      <c r="D44" s="2"/>
      <c r="E44" s="3"/>
      <c r="F44" s="21"/>
      <c r="G44" s="3"/>
      <c r="H44" s="21"/>
      <c r="I44" s="3"/>
      <c r="J44" s="21"/>
      <c r="K44" s="3"/>
      <c r="L44" s="21"/>
      <c r="M44" s="3"/>
      <c r="N44" s="21"/>
    </row>
    <row r="45" spans="1:14" ht="11.25" customHeight="1" x14ac:dyDescent="0.25">
      <c r="A45" s="4" t="s">
        <v>46</v>
      </c>
      <c r="B45" s="5"/>
      <c r="C45" s="5"/>
      <c r="D45" s="2"/>
      <c r="E45" s="3"/>
      <c r="F45" s="21"/>
      <c r="G45" s="3"/>
      <c r="H45" s="21"/>
      <c r="I45" s="3"/>
      <c r="J45" s="21"/>
      <c r="K45" s="3"/>
      <c r="L45" s="21"/>
      <c r="M45" s="3"/>
      <c r="N45" s="21"/>
    </row>
    <row r="46" spans="1:14" ht="11.25" customHeight="1" x14ac:dyDescent="0.25">
      <c r="A46" s="16" t="s">
        <v>33</v>
      </c>
      <c r="B46" s="5"/>
      <c r="C46" s="5"/>
      <c r="D46" s="2"/>
      <c r="E46" s="3">
        <v>590000</v>
      </c>
      <c r="F46" s="21" t="s">
        <v>10</v>
      </c>
      <c r="G46" s="3">
        <v>560000</v>
      </c>
      <c r="H46" s="21" t="s">
        <v>8</v>
      </c>
      <c r="I46" s="3">
        <v>576440</v>
      </c>
      <c r="J46" s="21" t="s">
        <v>8</v>
      </c>
      <c r="K46" s="3">
        <v>575280</v>
      </c>
      <c r="L46" s="21" t="s">
        <v>8</v>
      </c>
      <c r="M46" s="3">
        <v>593960</v>
      </c>
      <c r="N46" s="21"/>
    </row>
    <row r="47" spans="1:14" ht="11.1" customHeight="1" x14ac:dyDescent="0.25">
      <c r="A47" s="16" t="s">
        <v>47</v>
      </c>
      <c r="B47" s="5"/>
      <c r="C47" s="5"/>
      <c r="D47" s="2"/>
      <c r="E47" s="3">
        <v>211510</v>
      </c>
      <c r="F47" s="21"/>
      <c r="G47" s="3">
        <v>209023</v>
      </c>
      <c r="H47" s="21" t="s">
        <v>8</v>
      </c>
      <c r="I47" s="3">
        <v>219046</v>
      </c>
      <c r="J47" s="21" t="s">
        <v>8</v>
      </c>
      <c r="K47" s="3">
        <v>218606</v>
      </c>
      <c r="L47" s="21" t="s">
        <v>8</v>
      </c>
      <c r="M47" s="3">
        <v>225703</v>
      </c>
      <c r="N47" s="21"/>
    </row>
    <row r="48" spans="1:14" ht="11.25" customHeight="1" x14ac:dyDescent="0.25">
      <c r="A48" s="1" t="s">
        <v>48</v>
      </c>
      <c r="B48" s="5"/>
      <c r="C48" s="5"/>
      <c r="D48" s="2"/>
      <c r="E48" s="3">
        <v>200</v>
      </c>
      <c r="F48" s="21" t="s">
        <v>8</v>
      </c>
      <c r="G48" s="3">
        <v>230</v>
      </c>
      <c r="H48" s="21" t="s">
        <v>8</v>
      </c>
      <c r="I48" s="3">
        <v>50</v>
      </c>
      <c r="J48" s="21" t="s">
        <v>8</v>
      </c>
      <c r="K48" s="3">
        <v>70</v>
      </c>
      <c r="L48" s="21" t="s">
        <v>8</v>
      </c>
      <c r="M48" s="3">
        <v>39</v>
      </c>
      <c r="N48" s="21" t="s">
        <v>10</v>
      </c>
    </row>
    <row r="49" spans="1:14" ht="11.25" customHeight="1" x14ac:dyDescent="0.25">
      <c r="A49" s="1" t="s">
        <v>49</v>
      </c>
      <c r="B49" s="5"/>
      <c r="C49" s="5"/>
      <c r="D49" s="2"/>
      <c r="E49" s="3">
        <v>13985</v>
      </c>
      <c r="F49" s="21"/>
      <c r="G49" s="3">
        <v>15149</v>
      </c>
      <c r="H49" s="21"/>
      <c r="I49" s="3">
        <v>16890</v>
      </c>
      <c r="J49" s="21" t="s">
        <v>8</v>
      </c>
      <c r="K49" s="3">
        <v>18562</v>
      </c>
      <c r="L49" s="21" t="s">
        <v>8</v>
      </c>
      <c r="M49" s="3">
        <v>16319</v>
      </c>
      <c r="N49" s="21"/>
    </row>
    <row r="50" spans="1:14" ht="11.25" customHeight="1" x14ac:dyDescent="0.25">
      <c r="A50" s="1" t="s">
        <v>50</v>
      </c>
      <c r="B50" s="5"/>
      <c r="C50" s="5"/>
      <c r="D50" s="2"/>
      <c r="E50" s="3"/>
      <c r="F50" s="21"/>
      <c r="G50" s="3"/>
      <c r="H50" s="21"/>
      <c r="I50" s="3"/>
      <c r="J50" s="21"/>
      <c r="K50" s="3"/>
      <c r="L50" s="21"/>
      <c r="M50" s="3"/>
      <c r="N50" s="21"/>
    </row>
    <row r="51" spans="1:14" ht="11.25" customHeight="1" x14ac:dyDescent="0.25">
      <c r="A51" s="4" t="s">
        <v>51</v>
      </c>
      <c r="B51" s="5"/>
      <c r="C51" s="5" t="s">
        <v>29</v>
      </c>
      <c r="D51" s="2"/>
      <c r="E51" s="3">
        <v>6108722</v>
      </c>
      <c r="F51" s="21"/>
      <c r="G51" s="3">
        <v>6049000</v>
      </c>
      <c r="H51" s="21"/>
      <c r="I51" s="3">
        <v>5840000</v>
      </c>
      <c r="J51" s="21" t="s">
        <v>8</v>
      </c>
      <c r="K51" s="3">
        <v>5541000</v>
      </c>
      <c r="L51" s="21"/>
      <c r="M51" s="3">
        <v>6108000</v>
      </c>
      <c r="N51" s="21"/>
    </row>
    <row r="52" spans="1:14" ht="11.25" customHeight="1" x14ac:dyDescent="0.25">
      <c r="A52" s="4" t="s">
        <v>52</v>
      </c>
      <c r="B52" s="5"/>
      <c r="C52" s="5" t="s">
        <v>31</v>
      </c>
      <c r="D52" s="2"/>
      <c r="E52" s="3">
        <v>2222668</v>
      </c>
      <c r="F52" s="21"/>
      <c r="G52" s="3">
        <v>2200000</v>
      </c>
      <c r="H52" s="21" t="s">
        <v>10</v>
      </c>
      <c r="I52" s="3">
        <v>2200000</v>
      </c>
      <c r="J52" s="21" t="s">
        <v>10</v>
      </c>
      <c r="K52" s="3">
        <v>2488000</v>
      </c>
      <c r="L52" s="21"/>
      <c r="M52" s="3">
        <v>2581589</v>
      </c>
      <c r="N52" s="21"/>
    </row>
    <row r="53" spans="1:14" ht="11.25" customHeight="1" x14ac:dyDescent="0.25">
      <c r="A53" s="1" t="s">
        <v>53</v>
      </c>
      <c r="B53" s="5"/>
      <c r="C53" s="5"/>
      <c r="D53" s="2"/>
      <c r="E53" s="3"/>
      <c r="F53" s="21"/>
      <c r="G53" s="3"/>
      <c r="H53" s="21"/>
      <c r="I53" s="3"/>
      <c r="J53" s="21"/>
      <c r="K53" s="3"/>
      <c r="L53" s="21"/>
      <c r="M53" s="3"/>
      <c r="N53" s="21"/>
    </row>
    <row r="54" spans="1:14" ht="11.25" customHeight="1" x14ac:dyDescent="0.25">
      <c r="A54" s="4" t="s">
        <v>54</v>
      </c>
      <c r="B54" s="5"/>
      <c r="C54" s="5"/>
      <c r="D54" s="2"/>
      <c r="E54" s="3">
        <v>671444</v>
      </c>
      <c r="F54" s="21"/>
      <c r="G54" s="3">
        <v>690895</v>
      </c>
      <c r="H54" s="21"/>
      <c r="I54" s="3">
        <v>676677</v>
      </c>
      <c r="J54" s="21"/>
      <c r="K54" s="3">
        <v>688461</v>
      </c>
      <c r="L54" s="21" t="s">
        <v>8</v>
      </c>
      <c r="M54" s="3">
        <v>724201</v>
      </c>
      <c r="N54" s="21"/>
    </row>
    <row r="55" spans="1:14" ht="11.25" customHeight="1" x14ac:dyDescent="0.25">
      <c r="A55" s="4" t="s">
        <v>55</v>
      </c>
      <c r="B55" s="5"/>
      <c r="C55" s="5"/>
      <c r="D55" s="2"/>
      <c r="E55" s="3">
        <v>327003</v>
      </c>
      <c r="F55" s="21"/>
      <c r="G55" s="3">
        <v>336300</v>
      </c>
      <c r="H55" s="21"/>
      <c r="I55" s="3">
        <v>388511</v>
      </c>
      <c r="J55" s="21"/>
      <c r="K55" s="3">
        <v>363343</v>
      </c>
      <c r="L55" s="21"/>
      <c r="M55" s="3">
        <v>357066</v>
      </c>
      <c r="N55" s="21"/>
    </row>
    <row r="56" spans="1:14" ht="11.25" customHeight="1" x14ac:dyDescent="0.25">
      <c r="A56" s="29" t="s">
        <v>56</v>
      </c>
      <c r="B56" s="29"/>
      <c r="C56" s="29"/>
      <c r="D56" s="2"/>
      <c r="E56" s="3"/>
      <c r="F56" s="21"/>
      <c r="G56" s="3"/>
      <c r="H56" s="21"/>
      <c r="I56" s="3"/>
      <c r="J56" s="21"/>
      <c r="K56" s="3"/>
      <c r="L56" s="21"/>
      <c r="M56" s="3"/>
      <c r="N56" s="21"/>
    </row>
    <row r="57" spans="1:14" ht="11.25" customHeight="1" x14ac:dyDescent="0.25">
      <c r="A57" s="1" t="s">
        <v>57</v>
      </c>
      <c r="B57" s="5"/>
      <c r="C57" s="5"/>
      <c r="D57" s="2"/>
      <c r="E57" s="3">
        <v>359912</v>
      </c>
      <c r="F57" s="21"/>
      <c r="G57" s="3">
        <v>366234</v>
      </c>
      <c r="H57" s="21"/>
      <c r="I57" s="3">
        <v>378295</v>
      </c>
      <c r="J57" s="21" t="s">
        <v>8</v>
      </c>
      <c r="K57" s="3">
        <v>372262</v>
      </c>
      <c r="L57" s="21" t="s">
        <v>8</v>
      </c>
      <c r="M57" s="3">
        <v>320642</v>
      </c>
      <c r="N57" s="21"/>
    </row>
    <row r="58" spans="1:14" ht="11.25" customHeight="1" x14ac:dyDescent="0.25">
      <c r="A58" s="1" t="s">
        <v>58</v>
      </c>
      <c r="B58" s="5"/>
      <c r="C58" s="5"/>
      <c r="D58" s="2"/>
      <c r="E58" s="3">
        <v>40699</v>
      </c>
      <c r="F58" s="21"/>
      <c r="G58" s="3">
        <v>35489</v>
      </c>
      <c r="H58" s="21" t="s">
        <v>8</v>
      </c>
      <c r="I58" s="3">
        <v>39215</v>
      </c>
      <c r="J58" s="21" t="s">
        <v>8</v>
      </c>
      <c r="K58" s="3">
        <v>38304</v>
      </c>
      <c r="L58" s="21" t="s">
        <v>8</v>
      </c>
      <c r="M58" s="3">
        <v>21351</v>
      </c>
      <c r="N58" s="21" t="s">
        <v>59</v>
      </c>
    </row>
    <row r="59" spans="1:14" ht="11.25" customHeight="1" x14ac:dyDescent="0.25">
      <c r="A59" s="1" t="s">
        <v>60</v>
      </c>
      <c r="B59" s="5"/>
      <c r="C59" s="5" t="s">
        <v>34</v>
      </c>
      <c r="D59" s="2"/>
      <c r="E59" s="3">
        <v>41601</v>
      </c>
      <c r="F59" s="21"/>
      <c r="G59" s="3">
        <v>48328</v>
      </c>
      <c r="H59" s="21"/>
      <c r="I59" s="3">
        <v>45163</v>
      </c>
      <c r="J59" s="21" t="s">
        <v>8</v>
      </c>
      <c r="K59" s="3">
        <v>47833</v>
      </c>
      <c r="L59" s="21" t="s">
        <v>8</v>
      </c>
      <c r="M59" s="3">
        <v>51559</v>
      </c>
      <c r="N59" s="21"/>
    </row>
    <row r="60" spans="1:14" ht="11.25" customHeight="1" x14ac:dyDescent="0.25">
      <c r="A60" s="1" t="s">
        <v>61</v>
      </c>
      <c r="B60" s="5"/>
      <c r="C60" s="5"/>
      <c r="D60" s="2"/>
      <c r="E60" s="3"/>
      <c r="F60" s="21"/>
      <c r="G60" s="3"/>
      <c r="H60" s="21"/>
      <c r="I60" s="3"/>
      <c r="J60" s="21"/>
      <c r="K60" s="3"/>
      <c r="L60" s="21"/>
      <c r="M60" s="3"/>
      <c r="N60" s="21"/>
    </row>
    <row r="61" spans="1:14" ht="11.25" customHeight="1" x14ac:dyDescent="0.25">
      <c r="A61" s="4" t="s">
        <v>62</v>
      </c>
      <c r="B61" s="5"/>
      <c r="C61" s="5"/>
      <c r="D61" s="2"/>
      <c r="E61" s="3">
        <v>148475</v>
      </c>
      <c r="F61" s="21" t="s">
        <v>8</v>
      </c>
      <c r="G61" s="3">
        <v>264800</v>
      </c>
      <c r="H61" s="21" t="s">
        <v>8</v>
      </c>
      <c r="I61" s="3">
        <v>24321</v>
      </c>
      <c r="J61" s="21" t="s">
        <v>8</v>
      </c>
      <c r="K61" s="3">
        <v>79219</v>
      </c>
      <c r="L61" s="21" t="s">
        <v>8</v>
      </c>
      <c r="M61" s="3">
        <v>79000</v>
      </c>
      <c r="N61" s="21" t="s">
        <v>8</v>
      </c>
    </row>
    <row r="62" spans="1:14" ht="11.25" customHeight="1" x14ac:dyDescent="0.25">
      <c r="A62" s="4" t="s">
        <v>63</v>
      </c>
      <c r="B62" s="5"/>
      <c r="C62" s="5"/>
      <c r="D62" s="2"/>
      <c r="E62" s="3">
        <v>7397721</v>
      </c>
      <c r="F62" s="21"/>
      <c r="G62" s="3">
        <v>8042884</v>
      </c>
      <c r="H62" s="21"/>
      <c r="I62" s="3">
        <v>7388578</v>
      </c>
      <c r="J62" s="21" t="s">
        <v>8</v>
      </c>
      <c r="K62" s="3">
        <v>7681189</v>
      </c>
      <c r="L62" s="21"/>
      <c r="M62" s="3">
        <v>7680000</v>
      </c>
      <c r="N62" s="21" t="s">
        <v>10</v>
      </c>
    </row>
    <row r="63" spans="1:14" ht="11.25" customHeight="1" x14ac:dyDescent="0.25">
      <c r="A63" s="4" t="s">
        <v>64</v>
      </c>
      <c r="B63" s="5"/>
      <c r="C63" s="5"/>
      <c r="D63" s="2"/>
      <c r="E63" s="3">
        <v>110860</v>
      </c>
      <c r="F63" s="21"/>
      <c r="G63" s="3">
        <v>110000</v>
      </c>
      <c r="H63" s="21" t="s">
        <v>10</v>
      </c>
      <c r="I63" s="3">
        <v>110000</v>
      </c>
      <c r="J63" s="21" t="s">
        <v>10</v>
      </c>
      <c r="K63" s="3">
        <v>110000</v>
      </c>
      <c r="L63" s="21" t="s">
        <v>10</v>
      </c>
      <c r="M63" s="3">
        <v>110000</v>
      </c>
      <c r="N63" s="21" t="s">
        <v>10</v>
      </c>
    </row>
    <row r="64" spans="1:14" ht="11.25" customHeight="1" x14ac:dyDescent="0.25">
      <c r="A64" s="4" t="s">
        <v>65</v>
      </c>
      <c r="B64" s="5"/>
      <c r="C64" s="5"/>
      <c r="D64" s="2"/>
      <c r="E64" s="3">
        <v>279225</v>
      </c>
      <c r="F64" s="21"/>
      <c r="G64" s="3">
        <v>143156</v>
      </c>
      <c r="H64" s="21"/>
      <c r="I64" s="3">
        <v>122431</v>
      </c>
      <c r="J64" s="21" t="s">
        <v>8</v>
      </c>
      <c r="K64" s="3">
        <v>236033</v>
      </c>
      <c r="L64" s="21" t="s">
        <v>8</v>
      </c>
      <c r="M64" s="3">
        <v>240000</v>
      </c>
      <c r="N64" s="21" t="s">
        <v>10</v>
      </c>
    </row>
    <row r="65" spans="1:14" ht="11.25" customHeight="1" x14ac:dyDescent="0.25">
      <c r="A65" s="1" t="s">
        <v>66</v>
      </c>
      <c r="B65" s="5"/>
      <c r="C65" s="5"/>
      <c r="D65" s="2"/>
      <c r="E65" s="3">
        <v>96374</v>
      </c>
      <c r="F65" s="21"/>
      <c r="G65" s="3">
        <v>96000</v>
      </c>
      <c r="H65" s="21" t="s">
        <v>10</v>
      </c>
      <c r="I65" s="3">
        <v>96000</v>
      </c>
      <c r="J65" s="21" t="s">
        <v>10</v>
      </c>
      <c r="K65" s="3">
        <v>96000</v>
      </c>
      <c r="L65" s="21" t="s">
        <v>10</v>
      </c>
      <c r="M65" s="3">
        <v>96000</v>
      </c>
      <c r="N65" s="21" t="s">
        <v>10</v>
      </c>
    </row>
    <row r="66" spans="1:14" ht="11.25" customHeight="1" x14ac:dyDescent="0.25">
      <c r="A66" s="1" t="s">
        <v>67</v>
      </c>
      <c r="B66" s="5"/>
      <c r="C66" s="5"/>
      <c r="D66" s="2"/>
      <c r="E66" s="3">
        <v>233050</v>
      </c>
      <c r="F66" s="21"/>
      <c r="G66" s="3">
        <v>209770</v>
      </c>
      <c r="H66" s="21"/>
      <c r="I66" s="3">
        <v>304084</v>
      </c>
      <c r="J66" s="21" t="s">
        <v>8</v>
      </c>
      <c r="K66" s="3">
        <v>318120</v>
      </c>
      <c r="L66" s="21" t="s">
        <v>8</v>
      </c>
      <c r="M66" s="3">
        <v>355600</v>
      </c>
      <c r="N66" s="21"/>
    </row>
    <row r="67" spans="1:14" ht="11.25" customHeight="1" x14ac:dyDescent="0.25">
      <c r="A67" s="1" t="s">
        <v>68</v>
      </c>
      <c r="B67" s="5"/>
      <c r="C67" s="5"/>
      <c r="D67" s="2"/>
      <c r="E67" s="3"/>
      <c r="F67" s="21"/>
      <c r="G67" s="3"/>
      <c r="H67" s="21"/>
      <c r="I67" s="3"/>
      <c r="J67" s="21"/>
      <c r="K67" s="3"/>
      <c r="L67" s="21"/>
      <c r="M67" s="3"/>
      <c r="N67" s="21"/>
    </row>
    <row r="68" spans="1:14" ht="11.25" customHeight="1" x14ac:dyDescent="0.25">
      <c r="A68" s="4" t="s">
        <v>69</v>
      </c>
      <c r="B68" s="5"/>
      <c r="C68" s="5" t="s">
        <v>34</v>
      </c>
      <c r="D68" s="2"/>
      <c r="E68" s="3">
        <v>692</v>
      </c>
      <c r="F68" s="21"/>
      <c r="G68" s="3">
        <v>800</v>
      </c>
      <c r="H68" s="21" t="s">
        <v>8</v>
      </c>
      <c r="I68" s="3">
        <v>940</v>
      </c>
      <c r="J68" s="21" t="s">
        <v>8</v>
      </c>
      <c r="K68" s="3">
        <v>680</v>
      </c>
      <c r="L68" s="21" t="s">
        <v>10</v>
      </c>
      <c r="M68" s="3">
        <v>790</v>
      </c>
      <c r="N68" s="21" t="s">
        <v>10</v>
      </c>
    </row>
    <row r="69" spans="1:14" ht="11.25" customHeight="1" x14ac:dyDescent="0.25">
      <c r="A69" s="4" t="s">
        <v>70</v>
      </c>
      <c r="B69" s="5"/>
      <c r="C69" s="5" t="s">
        <v>31</v>
      </c>
      <c r="D69" s="2"/>
      <c r="E69" s="3">
        <v>325</v>
      </c>
      <c r="F69" s="21"/>
      <c r="G69" s="3">
        <v>380</v>
      </c>
      <c r="H69" s="21" t="s">
        <v>8</v>
      </c>
      <c r="I69" s="3">
        <v>290</v>
      </c>
      <c r="J69" s="21" t="s">
        <v>8</v>
      </c>
      <c r="K69" s="3">
        <v>230</v>
      </c>
      <c r="L69" s="21" t="s">
        <v>8</v>
      </c>
      <c r="M69" s="3">
        <v>210</v>
      </c>
      <c r="N69" s="21"/>
    </row>
    <row r="70" spans="1:14" ht="11.25" customHeight="1" x14ac:dyDescent="0.25">
      <c r="A70" s="1" t="s">
        <v>71</v>
      </c>
      <c r="B70" s="5"/>
      <c r="C70" s="5"/>
      <c r="D70" s="2"/>
      <c r="E70" s="3">
        <v>10310</v>
      </c>
      <c r="F70" s="21" t="s">
        <v>8</v>
      </c>
      <c r="G70" s="3">
        <v>4130</v>
      </c>
      <c r="H70" s="21" t="s">
        <v>8</v>
      </c>
      <c r="I70" s="3">
        <v>2300</v>
      </c>
      <c r="J70" s="21" t="s">
        <v>23</v>
      </c>
      <c r="K70" s="3">
        <v>2033</v>
      </c>
      <c r="L70" s="21" t="s">
        <v>10</v>
      </c>
      <c r="M70" s="3">
        <v>2100</v>
      </c>
      <c r="N70" s="21" t="s">
        <v>10</v>
      </c>
    </row>
    <row r="71" spans="1:14" ht="11.25" customHeight="1" x14ac:dyDescent="0.25">
      <c r="A71" s="1" t="s">
        <v>72</v>
      </c>
      <c r="B71" s="5"/>
      <c r="C71" s="5"/>
      <c r="D71" s="2"/>
      <c r="E71" s="3">
        <v>5400000</v>
      </c>
      <c r="F71" s="21" t="s">
        <v>10</v>
      </c>
      <c r="G71" s="3">
        <v>5400000</v>
      </c>
      <c r="H71" s="21" t="s">
        <v>10</v>
      </c>
      <c r="I71" s="3">
        <v>5400000</v>
      </c>
      <c r="J71" s="21" t="s">
        <v>10</v>
      </c>
      <c r="K71" s="3">
        <v>5400000</v>
      </c>
      <c r="L71" s="21" t="s">
        <v>10</v>
      </c>
      <c r="M71" s="3">
        <v>5400000</v>
      </c>
      <c r="N71" s="21" t="s">
        <v>10</v>
      </c>
    </row>
    <row r="72" spans="1:14" ht="11.25" customHeight="1" x14ac:dyDescent="0.25">
      <c r="A72" s="1" t="s">
        <v>73</v>
      </c>
      <c r="B72" s="5"/>
      <c r="C72" s="5"/>
      <c r="D72" s="2"/>
      <c r="E72" s="3">
        <v>101000</v>
      </c>
      <c r="F72" s="21"/>
      <c r="G72" s="3">
        <v>100000</v>
      </c>
      <c r="H72" s="21" t="s">
        <v>10</v>
      </c>
      <c r="I72" s="3">
        <v>1000</v>
      </c>
      <c r="J72" s="21" t="s">
        <v>23</v>
      </c>
      <c r="K72" s="3">
        <v>1000</v>
      </c>
      <c r="L72" s="21" t="s">
        <v>10</v>
      </c>
      <c r="M72" s="3">
        <v>1000</v>
      </c>
      <c r="N72" s="21" t="s">
        <v>10</v>
      </c>
    </row>
    <row r="73" spans="1:14" ht="11.25" customHeight="1" x14ac:dyDescent="0.25">
      <c r="A73" s="1" t="s">
        <v>74</v>
      </c>
      <c r="B73" s="5"/>
      <c r="C73" s="5"/>
      <c r="D73" s="2"/>
      <c r="E73" s="3">
        <v>145</v>
      </c>
      <c r="F73" s="21" t="s">
        <v>59</v>
      </c>
      <c r="G73" s="3">
        <v>150</v>
      </c>
      <c r="H73" s="21" t="s">
        <v>59</v>
      </c>
      <c r="I73" s="3">
        <v>150</v>
      </c>
      <c r="J73" s="21" t="s">
        <v>59</v>
      </c>
      <c r="K73" s="3">
        <v>150</v>
      </c>
      <c r="L73" s="21" t="s">
        <v>59</v>
      </c>
      <c r="M73" s="3">
        <v>150</v>
      </c>
      <c r="N73" s="21" t="s">
        <v>59</v>
      </c>
    </row>
    <row r="74" spans="1:14" ht="11.25" customHeight="1" x14ac:dyDescent="0.25">
      <c r="A74" s="1" t="s">
        <v>75</v>
      </c>
      <c r="B74" s="5"/>
      <c r="C74" s="5"/>
      <c r="D74" s="2"/>
      <c r="E74" s="3">
        <v>411000</v>
      </c>
      <c r="F74" s="21"/>
      <c r="G74" s="3">
        <v>124000</v>
      </c>
      <c r="H74" s="21"/>
      <c r="I74" s="13" t="s">
        <v>76</v>
      </c>
      <c r="J74" s="21"/>
      <c r="K74" s="3">
        <v>112000</v>
      </c>
      <c r="L74" s="21"/>
      <c r="M74" s="3">
        <v>201000</v>
      </c>
      <c r="N74" s="21"/>
    </row>
    <row r="75" spans="1:14" ht="11.25" customHeight="1" x14ac:dyDescent="0.25">
      <c r="A75" s="1" t="s">
        <v>77</v>
      </c>
      <c r="B75" s="5"/>
      <c r="C75" s="5"/>
      <c r="D75" s="2"/>
      <c r="E75" s="3">
        <v>15899</v>
      </c>
      <c r="F75" s="21"/>
      <c r="G75" s="3">
        <v>26400</v>
      </c>
      <c r="H75" s="21"/>
      <c r="I75" s="3">
        <v>24497</v>
      </c>
      <c r="J75" s="21" t="s">
        <v>8</v>
      </c>
      <c r="K75" s="3">
        <v>24000</v>
      </c>
      <c r="L75" s="21" t="s">
        <v>8</v>
      </c>
      <c r="M75" s="3">
        <v>24000</v>
      </c>
      <c r="N75" s="21" t="s">
        <v>10</v>
      </c>
    </row>
    <row r="76" spans="1:14" ht="11.25" customHeight="1" x14ac:dyDescent="0.25">
      <c r="A76" s="1" t="s">
        <v>78</v>
      </c>
      <c r="B76" s="5"/>
      <c r="C76" s="5"/>
      <c r="D76" s="2"/>
      <c r="E76" s="3"/>
      <c r="F76" s="21"/>
      <c r="G76" s="3"/>
      <c r="H76" s="21"/>
      <c r="I76" s="3"/>
      <c r="J76" s="21"/>
      <c r="K76" s="3"/>
      <c r="L76" s="21"/>
      <c r="M76" s="3"/>
      <c r="N76" s="21"/>
    </row>
    <row r="77" spans="1:14" ht="11.25" customHeight="1" x14ac:dyDescent="0.25">
      <c r="A77" s="4" t="s">
        <v>33</v>
      </c>
      <c r="B77" s="5"/>
      <c r="C77" s="5" t="s">
        <v>34</v>
      </c>
      <c r="D77" s="2"/>
      <c r="E77" s="3">
        <v>1926</v>
      </c>
      <c r="F77" s="21"/>
      <c r="G77" s="3">
        <v>742</v>
      </c>
      <c r="H77" s="21" t="s">
        <v>8</v>
      </c>
      <c r="I77" s="3">
        <v>558</v>
      </c>
      <c r="J77" s="21"/>
      <c r="K77" s="3">
        <v>577</v>
      </c>
      <c r="L77" s="21"/>
      <c r="M77" s="3">
        <v>488</v>
      </c>
      <c r="N77" s="21"/>
    </row>
    <row r="78" spans="1:14" ht="11.25" customHeight="1" x14ac:dyDescent="0.25">
      <c r="A78" s="4" t="s">
        <v>79</v>
      </c>
      <c r="B78" s="5"/>
      <c r="C78" s="5" t="s">
        <v>31</v>
      </c>
      <c r="D78" s="2"/>
      <c r="E78" s="3">
        <v>540</v>
      </c>
      <c r="F78" s="21"/>
      <c r="G78" s="3">
        <v>210</v>
      </c>
      <c r="H78" s="21" t="s">
        <v>8</v>
      </c>
      <c r="I78" s="3">
        <v>160</v>
      </c>
      <c r="J78" s="21"/>
      <c r="K78" s="3">
        <v>170</v>
      </c>
      <c r="L78" s="21"/>
      <c r="M78" s="3">
        <v>150</v>
      </c>
      <c r="N78" s="21"/>
    </row>
    <row r="79" spans="1:14" ht="11.25" customHeight="1" x14ac:dyDescent="0.25">
      <c r="A79" s="1" t="s">
        <v>80</v>
      </c>
      <c r="B79" s="5"/>
      <c r="C79" s="5" t="s">
        <v>31</v>
      </c>
      <c r="D79" s="2"/>
      <c r="E79" s="3">
        <v>9000</v>
      </c>
      <c r="F79" s="21"/>
      <c r="G79" s="3">
        <v>9000</v>
      </c>
      <c r="H79" s="21"/>
      <c r="I79" s="3">
        <v>9000</v>
      </c>
      <c r="J79" s="21"/>
      <c r="K79" s="3">
        <v>9000</v>
      </c>
      <c r="L79" s="21"/>
      <c r="M79" s="3">
        <v>9000</v>
      </c>
      <c r="N79" s="21"/>
    </row>
    <row r="80" spans="1:14" ht="11.25" customHeight="1" x14ac:dyDescent="0.25">
      <c r="A80" s="1" t="s">
        <v>81</v>
      </c>
      <c r="B80" s="5"/>
      <c r="C80" s="5"/>
      <c r="D80" s="2"/>
      <c r="E80" s="3"/>
      <c r="F80" s="21"/>
      <c r="G80" s="3"/>
      <c r="H80" s="21"/>
      <c r="I80" s="3"/>
      <c r="J80" s="21"/>
      <c r="K80" s="3"/>
      <c r="L80" s="21"/>
      <c r="M80" s="3"/>
      <c r="N80" s="21"/>
    </row>
    <row r="81" spans="1:14" ht="11.25" customHeight="1" x14ac:dyDescent="0.25">
      <c r="A81" s="4" t="s">
        <v>82</v>
      </c>
      <c r="B81" s="5"/>
      <c r="C81" s="5"/>
      <c r="D81" s="2"/>
      <c r="E81" s="3"/>
      <c r="F81" s="21"/>
      <c r="G81" s="3"/>
      <c r="H81" s="21"/>
      <c r="I81" s="3"/>
      <c r="J81" s="21"/>
      <c r="K81" s="3"/>
      <c r="L81" s="21"/>
      <c r="M81" s="3"/>
      <c r="N81" s="21"/>
    </row>
    <row r="82" spans="1:14" ht="11.25" customHeight="1" x14ac:dyDescent="0.25">
      <c r="A82" s="16" t="s">
        <v>83</v>
      </c>
      <c r="B82" s="5"/>
      <c r="C82" s="5" t="s">
        <v>31</v>
      </c>
      <c r="D82" s="2"/>
      <c r="E82" s="3">
        <v>112546</v>
      </c>
      <c r="F82" s="21"/>
      <c r="G82" s="3">
        <v>119337</v>
      </c>
      <c r="H82" s="21"/>
      <c r="I82" s="3">
        <v>116272</v>
      </c>
      <c r="J82" s="21" t="s">
        <v>8</v>
      </c>
      <c r="K82" s="3">
        <v>120000</v>
      </c>
      <c r="L82" s="21" t="s">
        <v>10</v>
      </c>
      <c r="M82" s="3">
        <v>120000</v>
      </c>
      <c r="N82" s="21" t="s">
        <v>10</v>
      </c>
    </row>
    <row r="83" spans="1:14" ht="11.25" customHeight="1" x14ac:dyDescent="0.25">
      <c r="A83" s="16" t="s">
        <v>84</v>
      </c>
      <c r="B83" s="5"/>
      <c r="C83" s="5" t="s">
        <v>31</v>
      </c>
      <c r="D83" s="2"/>
      <c r="E83" s="3">
        <v>210286</v>
      </c>
      <c r="F83" s="21"/>
      <c r="G83" s="3">
        <v>212733</v>
      </c>
      <c r="H83" s="21"/>
      <c r="I83" s="3">
        <v>182770</v>
      </c>
      <c r="J83" s="21" t="s">
        <v>8</v>
      </c>
      <c r="K83" s="3">
        <v>213000</v>
      </c>
      <c r="L83" s="21" t="s">
        <v>10</v>
      </c>
      <c r="M83" s="3">
        <v>213000</v>
      </c>
      <c r="N83" s="21" t="s">
        <v>10</v>
      </c>
    </row>
    <row r="84" spans="1:14" ht="11.25" customHeight="1" x14ac:dyDescent="0.25">
      <c r="A84" s="4" t="s">
        <v>85</v>
      </c>
      <c r="B84" s="5"/>
      <c r="C84" s="5"/>
      <c r="D84" s="2"/>
      <c r="E84" s="3"/>
      <c r="F84" s="21"/>
      <c r="G84" s="3"/>
      <c r="H84" s="21"/>
      <c r="I84" s="3"/>
      <c r="J84" s="21"/>
      <c r="K84" s="3"/>
      <c r="L84" s="21"/>
      <c r="M84" s="3"/>
      <c r="N84" s="21"/>
    </row>
    <row r="85" spans="1:14" ht="11.25" customHeight="1" x14ac:dyDescent="0.25">
      <c r="A85" s="16" t="s">
        <v>86</v>
      </c>
      <c r="B85" s="5"/>
      <c r="C85" s="5"/>
      <c r="D85" s="2"/>
      <c r="E85" s="3"/>
      <c r="F85" s="21"/>
      <c r="G85" s="3"/>
      <c r="H85" s="21"/>
      <c r="I85" s="3"/>
      <c r="J85" s="21"/>
      <c r="K85" s="3"/>
      <c r="L85" s="21"/>
      <c r="M85" s="3"/>
      <c r="N85" s="21"/>
    </row>
    <row r="86" spans="1:14" ht="11.25" customHeight="1" x14ac:dyDescent="0.25">
      <c r="A86" s="19" t="s">
        <v>87</v>
      </c>
      <c r="B86" s="5"/>
      <c r="C86" s="5"/>
      <c r="D86" s="2"/>
      <c r="E86" s="3">
        <v>3859373</v>
      </c>
      <c r="F86" s="21"/>
      <c r="G86" s="3">
        <v>2808875</v>
      </c>
      <c r="H86" s="21"/>
      <c r="I86" s="3">
        <v>2636941</v>
      </c>
      <c r="J86" s="21" t="s">
        <v>8</v>
      </c>
      <c r="K86" s="3">
        <v>3547290</v>
      </c>
      <c r="L86" s="21"/>
      <c r="M86" s="3">
        <v>3548000</v>
      </c>
      <c r="N86" s="21" t="s">
        <v>10</v>
      </c>
    </row>
    <row r="87" spans="1:14" ht="11.25" customHeight="1" x14ac:dyDescent="0.25">
      <c r="A87" s="19" t="s">
        <v>88</v>
      </c>
      <c r="B87" s="5"/>
      <c r="C87" s="5"/>
      <c r="D87" s="2"/>
      <c r="E87" s="3">
        <v>6059970</v>
      </c>
      <c r="F87" s="21"/>
      <c r="G87" s="3">
        <v>7554796</v>
      </c>
      <c r="H87" s="21"/>
      <c r="I87" s="3">
        <v>6346295</v>
      </c>
      <c r="J87" s="21" t="s">
        <v>8</v>
      </c>
      <c r="K87" s="3">
        <v>9165515</v>
      </c>
      <c r="L87" s="21"/>
      <c r="M87" s="3">
        <v>9166000</v>
      </c>
      <c r="N87" s="21" t="s">
        <v>10</v>
      </c>
    </row>
    <row r="88" spans="1:14" ht="11.25" customHeight="1" x14ac:dyDescent="0.25">
      <c r="A88" s="19" t="s">
        <v>89</v>
      </c>
      <c r="B88" s="5"/>
      <c r="C88" s="5" t="s">
        <v>34</v>
      </c>
      <c r="D88" s="2"/>
      <c r="E88" s="3">
        <v>362654</v>
      </c>
      <c r="F88" s="21"/>
      <c r="G88" s="3">
        <v>355592</v>
      </c>
      <c r="H88" s="21"/>
      <c r="I88" s="3">
        <v>233526</v>
      </c>
      <c r="J88" s="21" t="s">
        <v>8</v>
      </c>
      <c r="K88" s="3">
        <v>248248</v>
      </c>
      <c r="L88" s="21"/>
      <c r="M88" s="3">
        <v>245248</v>
      </c>
      <c r="N88" s="21" t="s">
        <v>10</v>
      </c>
    </row>
    <row r="89" spans="1:14" ht="11.25" customHeight="1" x14ac:dyDescent="0.25">
      <c r="A89" s="19" t="s">
        <v>90</v>
      </c>
      <c r="B89" s="5"/>
      <c r="C89" s="5"/>
      <c r="D89" s="2"/>
      <c r="E89" s="3">
        <v>2352614</v>
      </c>
      <c r="F89" s="21"/>
      <c r="G89" s="3">
        <v>1964041</v>
      </c>
      <c r="H89" s="21"/>
      <c r="I89" s="3">
        <v>1557159</v>
      </c>
      <c r="J89" s="21" t="s">
        <v>8</v>
      </c>
      <c r="K89" s="3">
        <v>468501</v>
      </c>
      <c r="L89" s="21"/>
      <c r="M89" s="3">
        <v>469000</v>
      </c>
      <c r="N89" s="21" t="s">
        <v>10</v>
      </c>
    </row>
    <row r="90" spans="1:14" ht="11.25" customHeight="1" x14ac:dyDescent="0.25">
      <c r="A90" s="19" t="s">
        <v>91</v>
      </c>
      <c r="B90" s="5"/>
      <c r="C90" s="5"/>
      <c r="D90" s="2"/>
      <c r="E90" s="3">
        <v>2356000</v>
      </c>
      <c r="F90" s="21"/>
      <c r="G90" s="3">
        <v>2511246</v>
      </c>
      <c r="H90" s="21" t="s">
        <v>8</v>
      </c>
      <c r="I90" s="3">
        <v>2671422</v>
      </c>
      <c r="J90" s="21" t="s">
        <v>8</v>
      </c>
      <c r="K90" s="3">
        <v>2514378</v>
      </c>
      <c r="L90" s="21" t="s">
        <v>8</v>
      </c>
      <c r="M90" s="3">
        <v>2500000</v>
      </c>
      <c r="N90" s="21" t="s">
        <v>10</v>
      </c>
    </row>
    <row r="91" spans="1:14" ht="11.25" customHeight="1" x14ac:dyDescent="0.25">
      <c r="A91" s="1" t="s">
        <v>92</v>
      </c>
      <c r="B91" s="5"/>
      <c r="C91" s="5"/>
      <c r="D91" s="2"/>
      <c r="E91" s="3">
        <v>551218</v>
      </c>
      <c r="F91" s="21"/>
      <c r="G91" s="3">
        <v>442657</v>
      </c>
      <c r="H91" s="21" t="s">
        <v>8</v>
      </c>
      <c r="I91" s="3">
        <v>364967</v>
      </c>
      <c r="J91" s="21"/>
      <c r="K91" s="3">
        <v>264078</v>
      </c>
      <c r="L91" s="21"/>
      <c r="M91" s="3">
        <v>176321</v>
      </c>
      <c r="N91" s="21"/>
    </row>
    <row r="92" spans="1:14" ht="11.25" customHeight="1" x14ac:dyDescent="0.25">
      <c r="A92" s="1" t="s">
        <v>93</v>
      </c>
      <c r="B92" s="5"/>
      <c r="C92" s="5"/>
      <c r="D92" s="2"/>
      <c r="E92" s="3">
        <v>7129</v>
      </c>
      <c r="F92" s="21" t="s">
        <v>8</v>
      </c>
      <c r="G92" s="3">
        <v>8448</v>
      </c>
      <c r="H92" s="21" t="s">
        <v>8</v>
      </c>
      <c r="I92" s="3">
        <v>7202</v>
      </c>
      <c r="J92" s="21" t="s">
        <v>8</v>
      </c>
      <c r="K92" s="3">
        <v>29122</v>
      </c>
      <c r="L92" s="21" t="s">
        <v>8</v>
      </c>
      <c r="M92" s="3">
        <v>29000</v>
      </c>
      <c r="N92" s="21" t="s">
        <v>10</v>
      </c>
    </row>
    <row r="93" spans="1:14" ht="11.25" customHeight="1" x14ac:dyDescent="0.25">
      <c r="A93" s="1" t="s">
        <v>94</v>
      </c>
      <c r="B93" s="5"/>
      <c r="C93" s="5"/>
      <c r="D93" s="2"/>
      <c r="E93" s="3">
        <v>464</v>
      </c>
      <c r="F93" s="21"/>
      <c r="G93" s="3">
        <v>244</v>
      </c>
      <c r="H93" s="21"/>
      <c r="I93" s="3">
        <v>148</v>
      </c>
      <c r="J93" s="21" t="s">
        <v>8</v>
      </c>
      <c r="K93" s="3">
        <v>104</v>
      </c>
      <c r="L93" s="21" t="s">
        <v>8</v>
      </c>
      <c r="M93" s="3">
        <v>100</v>
      </c>
      <c r="N93" s="21" t="s">
        <v>10</v>
      </c>
    </row>
    <row r="94" spans="1:14" ht="11.25" customHeight="1" x14ac:dyDescent="0.25">
      <c r="A94" s="1" t="s">
        <v>95</v>
      </c>
      <c r="B94" s="5"/>
      <c r="C94" s="5"/>
      <c r="D94" s="2"/>
      <c r="E94" s="3">
        <v>87562</v>
      </c>
      <c r="F94" s="21"/>
      <c r="G94" s="3">
        <v>145814</v>
      </c>
      <c r="H94" s="21"/>
      <c r="I94" s="3">
        <v>159498</v>
      </c>
      <c r="J94" s="21" t="s">
        <v>8</v>
      </c>
      <c r="K94" s="3">
        <v>131518</v>
      </c>
      <c r="L94" s="21"/>
      <c r="M94" s="3">
        <v>102711</v>
      </c>
      <c r="N94" s="21"/>
    </row>
    <row r="95" spans="1:14" ht="11.25" customHeight="1" x14ac:dyDescent="0.25">
      <c r="A95" s="29" t="s">
        <v>96</v>
      </c>
      <c r="B95" s="29"/>
      <c r="C95" s="29"/>
      <c r="D95" s="2"/>
      <c r="E95" s="3"/>
      <c r="F95" s="21"/>
      <c r="G95" s="3"/>
      <c r="H95" s="21"/>
      <c r="I95" s="3"/>
      <c r="J95" s="21"/>
      <c r="K95" s="3"/>
      <c r="L95" s="21"/>
      <c r="M95" s="3"/>
      <c r="N95" s="21"/>
    </row>
    <row r="96" spans="1:14" ht="11.25" customHeight="1" x14ac:dyDescent="0.25">
      <c r="A96" s="1" t="s">
        <v>97</v>
      </c>
      <c r="B96" s="22"/>
      <c r="C96" s="22"/>
      <c r="D96" s="2"/>
      <c r="E96" s="3"/>
      <c r="F96" s="21"/>
      <c r="G96" s="3"/>
      <c r="H96" s="21"/>
      <c r="I96" s="3"/>
      <c r="J96" s="21"/>
      <c r="K96" s="3"/>
      <c r="L96" s="21"/>
      <c r="M96" s="3"/>
      <c r="N96" s="21"/>
    </row>
    <row r="97" spans="1:14" ht="11.25" customHeight="1" x14ac:dyDescent="0.25">
      <c r="A97" s="4" t="s">
        <v>98</v>
      </c>
      <c r="B97" s="5"/>
      <c r="C97" s="5" t="s">
        <v>34</v>
      </c>
      <c r="D97" s="2"/>
      <c r="E97" s="3">
        <v>7280</v>
      </c>
      <c r="F97" s="21"/>
      <c r="G97" s="3">
        <v>6773</v>
      </c>
      <c r="H97" s="21"/>
      <c r="I97" s="3">
        <v>5288</v>
      </c>
      <c r="J97" s="21" t="s">
        <v>8</v>
      </c>
      <c r="K97" s="3">
        <v>4195</v>
      </c>
      <c r="L97" s="21"/>
      <c r="M97" s="3">
        <v>4407</v>
      </c>
      <c r="N97" s="21"/>
    </row>
    <row r="98" spans="1:14" ht="11.25" customHeight="1" x14ac:dyDescent="0.25">
      <c r="A98" s="4" t="s">
        <v>99</v>
      </c>
      <c r="B98" s="5"/>
      <c r="C98" s="5" t="s">
        <v>31</v>
      </c>
      <c r="D98" s="2"/>
      <c r="E98" s="3">
        <v>4637</v>
      </c>
      <c r="F98" s="21"/>
      <c r="G98" s="3">
        <v>3897</v>
      </c>
      <c r="H98" s="21" t="s">
        <v>8</v>
      </c>
      <c r="I98" s="3">
        <v>3275</v>
      </c>
      <c r="J98" s="21" t="s">
        <v>8</v>
      </c>
      <c r="K98" s="3">
        <v>2841</v>
      </c>
      <c r="L98" s="21" t="s">
        <v>8</v>
      </c>
      <c r="M98" s="3">
        <v>2730</v>
      </c>
      <c r="N98" s="21"/>
    </row>
    <row r="99" spans="1:14" ht="11.25" customHeight="1" x14ac:dyDescent="0.25">
      <c r="A99" s="1" t="s">
        <v>100</v>
      </c>
      <c r="B99" s="5"/>
      <c r="C99" s="5" t="s">
        <v>31</v>
      </c>
      <c r="D99" s="2"/>
      <c r="E99" s="3">
        <v>1295</v>
      </c>
      <c r="F99" s="21"/>
      <c r="G99" s="3">
        <v>1180</v>
      </c>
      <c r="H99" s="21"/>
      <c r="I99" s="3">
        <v>991</v>
      </c>
      <c r="J99" s="21" t="s">
        <v>8</v>
      </c>
      <c r="K99" s="3">
        <v>697</v>
      </c>
      <c r="L99" s="21" t="s">
        <v>8</v>
      </c>
      <c r="M99" s="3">
        <v>777</v>
      </c>
      <c r="N99" s="21"/>
    </row>
    <row r="100" spans="1:14" ht="11.25" customHeight="1" x14ac:dyDescent="0.25">
      <c r="A100" s="1" t="s">
        <v>101</v>
      </c>
      <c r="B100" s="5"/>
      <c r="C100" s="5" t="s">
        <v>102</v>
      </c>
      <c r="D100" s="2"/>
      <c r="E100" s="3">
        <v>31573</v>
      </c>
      <c r="F100" s="21"/>
      <c r="G100" s="3">
        <v>31570</v>
      </c>
      <c r="H100" s="21"/>
      <c r="I100" s="3">
        <v>28702</v>
      </c>
      <c r="J100" s="21"/>
      <c r="K100" s="3">
        <v>28578</v>
      </c>
      <c r="L100" s="21"/>
      <c r="M100" s="3">
        <v>24000</v>
      </c>
      <c r="N100" s="21"/>
    </row>
    <row r="101" spans="1:14" ht="11.25" customHeight="1" x14ac:dyDescent="0.25">
      <c r="A101" s="1" t="s">
        <v>103</v>
      </c>
      <c r="B101" s="5"/>
      <c r="C101" s="5"/>
      <c r="D101" s="2"/>
      <c r="E101" s="3"/>
      <c r="F101" s="21"/>
      <c r="G101" s="3"/>
      <c r="H101" s="21"/>
      <c r="I101" s="3"/>
      <c r="J101" s="21"/>
      <c r="K101" s="3"/>
      <c r="L101" s="21"/>
      <c r="M101" s="3"/>
      <c r="N101" s="21"/>
    </row>
    <row r="102" spans="1:14" ht="11.25" customHeight="1" x14ac:dyDescent="0.25">
      <c r="A102" s="4" t="s">
        <v>104</v>
      </c>
      <c r="B102" s="5"/>
      <c r="C102" s="5" t="s">
        <v>105</v>
      </c>
      <c r="D102" s="2"/>
      <c r="E102" s="3">
        <v>90520</v>
      </c>
      <c r="F102" s="21"/>
      <c r="G102" s="3">
        <v>77015</v>
      </c>
      <c r="H102" s="21"/>
      <c r="I102" s="3">
        <v>79935</v>
      </c>
      <c r="J102" s="21"/>
      <c r="K102" s="3">
        <v>75190</v>
      </c>
      <c r="L102" s="21"/>
      <c r="M102" s="3">
        <v>62415</v>
      </c>
      <c r="N102" s="21"/>
    </row>
    <row r="103" spans="1:14" ht="11.25" customHeight="1" x14ac:dyDescent="0.25">
      <c r="A103" s="4" t="s">
        <v>106</v>
      </c>
      <c r="B103" s="5"/>
      <c r="C103" s="5" t="s">
        <v>31</v>
      </c>
      <c r="D103" s="2"/>
      <c r="E103" s="3">
        <v>723065</v>
      </c>
      <c r="F103" s="21"/>
      <c r="G103" s="3">
        <v>675980</v>
      </c>
      <c r="H103" s="21"/>
      <c r="I103" s="3">
        <v>612470</v>
      </c>
      <c r="J103" s="21" t="s">
        <v>8</v>
      </c>
      <c r="K103" s="3">
        <v>605900</v>
      </c>
      <c r="L103" s="21"/>
      <c r="M103" s="3">
        <v>632910</v>
      </c>
      <c r="N103" s="21"/>
    </row>
    <row r="104" spans="1:14" ht="11.25" customHeight="1" x14ac:dyDescent="0.25">
      <c r="A104" s="25" t="s">
        <v>107</v>
      </c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9"/>
      <c r="M104" s="6"/>
      <c r="N104" s="6"/>
    </row>
    <row r="105" spans="1:14" ht="22.5" customHeight="1" x14ac:dyDescent="0.25">
      <c r="A105" s="26" t="s">
        <v>108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9"/>
      <c r="M105" s="6"/>
      <c r="N105" s="6"/>
    </row>
    <row r="106" spans="1:14" ht="22.5" customHeight="1" x14ac:dyDescent="0.25">
      <c r="A106" s="26" t="s">
        <v>109</v>
      </c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9"/>
      <c r="M106" s="6"/>
      <c r="N106" s="6"/>
    </row>
    <row r="107" spans="1:14" ht="11.25" customHeight="1" x14ac:dyDescent="0.25">
      <c r="A107" s="24" t="s">
        <v>110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9"/>
      <c r="M107" s="6"/>
      <c r="N107" s="6"/>
    </row>
    <row r="108" spans="1:14" ht="11.25" customHeight="1" x14ac:dyDescent="0.25">
      <c r="A108" s="24" t="s">
        <v>111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9"/>
      <c r="M108" s="6"/>
      <c r="N108" s="6"/>
    </row>
  </sheetData>
  <mergeCells count="13">
    <mergeCell ref="A1:N1"/>
    <mergeCell ref="A2:N2"/>
    <mergeCell ref="A108:K108"/>
    <mergeCell ref="A4:N4"/>
    <mergeCell ref="A104:K104"/>
    <mergeCell ref="A105:K105"/>
    <mergeCell ref="A106:K106"/>
    <mergeCell ref="A107:K107"/>
    <mergeCell ref="A5:J5"/>
    <mergeCell ref="A7:C7"/>
    <mergeCell ref="A95:C95"/>
    <mergeCell ref="A56:C56"/>
    <mergeCell ref="A6:B6"/>
  </mergeCells>
  <printOptions horizontalCentered="1"/>
  <pageMargins left="0.5" right="0.5" top="0.5" bottom="0.75" header="0.3" footer="0.3"/>
  <pageSetup fitToWidth="0" orientation="portrait" horizontalDpi="360" verticalDpi="360" r:id="rId1"/>
  <ignoredErrors>
    <ignoredError sqref="A7:A8 A61 C42:C43 C54:C55 E42:J43 A9:A10 C8:C10 E6:J7 C12:C13 E12:J13 C15:C16 F16 C22:C23 E23:J23 E29:J29 E40:F40 C40 A48:A49 E52:J52 E55:J56 C57 A56:A57 E66:H66 C65:C66 A65:A66 C61:C62 E61:H61 C86:C87 E87:H87 A93:A95 E10 G10:J10 E28 G28:J28 F37 H37 J37 F38:J38 C47 E49:H49 E54 G54:J54 E57 G57 A72 E71:J71 C70:C75 E62 G62:H62 E65:J65 F68:F69 F77:F78 H77:H78 J77:J78 F82:F83 H82:H83 E86 G86:H86 C89 E89:H89 H88 E95:J95 J91 C92:C94 F97:F99 H97 A100 J100 H102:H103 J102 E9:J9 E47:H47 E51:G51 E75 E93 H99:H100 G75 G93 J34:J35 H34:H35 F34:F35 C48:C49 A74:A75 E74:J74 E73 G73 I73 F22 H22 E72:H72 E94:H9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9D8CE3A9-D35F-4A19-9A33-C23268C08466}"/>
</file>

<file path=customXml/itemProps2.xml><?xml version="1.0" encoding="utf-8"?>
<ds:datastoreItem xmlns:ds="http://schemas.openxmlformats.org/officeDocument/2006/customXml" ds:itemID="{B1A04DF0-F027-4F31-9FA0-CD181E18E8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CA6990-52D7-44B1-B814-D1DA145BD11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Perez, Alberto A.</dc:creator>
  <cp:keywords/>
  <dc:description/>
  <cp:lastModifiedBy>Hakim, Samir</cp:lastModifiedBy>
  <cp:revision/>
  <dcterms:created xsi:type="dcterms:W3CDTF">2021-02-18T16:47:36Z</dcterms:created>
  <dcterms:modified xsi:type="dcterms:W3CDTF">2025-05-16T14:30:23Z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